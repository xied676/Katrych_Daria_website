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аша университет\Інформатика Токар 2025-2026\"/>
    </mc:Choice>
  </mc:AlternateContent>
  <xr:revisionPtr revIDLastSave="0" documentId="8_{4DAF52A3-9293-4E4D-9148-A3EE97EAA146}" xr6:coauthVersionLast="47" xr6:coauthVersionMax="47" xr10:uidLastSave="{00000000-0000-0000-0000-000000000000}"/>
  <bookViews>
    <workbookView xWindow="-110" yWindow="-110" windowWidth="19420" windowHeight="11500" xr2:uid="{935CD08C-053D-44AC-ADE8-B193FAC28E99}"/>
  </bookViews>
  <sheets>
    <sheet name="Відкр." sheetId="1" r:id="rId1"/>
    <sheet name="Покриття екс. імп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/>
  <c r="J2" i="2"/>
  <c r="I2" i="2"/>
  <c r="H2" i="2"/>
  <c r="G2" i="2"/>
  <c r="F2" i="2"/>
  <c r="E2" i="2"/>
  <c r="D2" i="2"/>
  <c r="C2" i="2"/>
  <c r="B2" i="2"/>
  <c r="N4" i="2"/>
  <c r="M4" i="2"/>
  <c r="L4" i="2"/>
  <c r="N3" i="2"/>
  <c r="M3" i="2"/>
  <c r="L3" i="2"/>
  <c r="N2" i="1"/>
  <c r="M2" i="1"/>
  <c r="L2" i="1"/>
  <c r="N4" i="1"/>
  <c r="N3" i="1"/>
  <c r="M4" i="1"/>
  <c r="M3" i="1"/>
  <c r="L4" i="1"/>
  <c r="L3" i="1"/>
  <c r="N2" i="2" l="1"/>
  <c r="L2" i="2"/>
  <c r="M2" i="2"/>
</calcChain>
</file>

<file path=xl/sharedStrings.xml><?xml version="1.0" encoding="utf-8"?>
<sst xmlns="http://schemas.openxmlformats.org/spreadsheetml/2006/main" count="62" uniqueCount="37">
  <si>
    <t>Роки</t>
  </si>
  <si>
    <t>Відкритість економіки</t>
  </si>
  <si>
    <t>Порогові значення</t>
  </si>
  <si>
    <t>Рівень безпеки</t>
  </si>
  <si>
    <t>Абс. Неб.</t>
  </si>
  <si>
    <t>Крит.</t>
  </si>
  <si>
    <t>Небезп.</t>
  </si>
  <si>
    <t>Незадов.</t>
  </si>
  <si>
    <t>Задов.</t>
  </si>
  <si>
    <t>Опт.</t>
  </si>
  <si>
    <t>[0;75]</t>
  </si>
  <si>
    <t>(75;85]</t>
  </si>
  <si>
    <t>(85;90]</t>
  </si>
  <si>
    <t>(90;95]</t>
  </si>
  <si>
    <t>(95;100]</t>
  </si>
  <si>
    <t>&gt;100</t>
  </si>
  <si>
    <t>Частка експорту у ВВП, %</t>
  </si>
  <si>
    <t>Частка імпорту у ВВП, %</t>
  </si>
  <si>
    <t>Мінімум</t>
  </si>
  <si>
    <t>Максимум</t>
  </si>
  <si>
    <t>Середнє</t>
  </si>
  <si>
    <t>[1;1,2]</t>
  </si>
  <si>
    <t>(1,2;1,25]</t>
  </si>
  <si>
    <t>&gt;1,7</t>
  </si>
  <si>
    <t>(1,5;1,7]</t>
  </si>
  <si>
    <t>(1,3;1,5]</t>
  </si>
  <si>
    <t>(1,25;1,3]</t>
  </si>
  <si>
    <t>&lt;0,85</t>
  </si>
  <si>
    <t>[0,85;0,9)</t>
  </si>
  <si>
    <t>[0,9;0,95)</t>
  </si>
  <si>
    <t>[0,95;0,975)</t>
  </si>
  <si>
    <t>[0,975;1)</t>
  </si>
  <si>
    <t>Покриття експортом імпорту, рази</t>
  </si>
  <si>
    <t>Бельгія</t>
  </si>
  <si>
    <t>У 2012-2021 роках за показником вілкриточті економіки зовнішньоекономічна безпека Бельгії була на критичному рівні.</t>
  </si>
  <si>
    <t>У 2012-2021 рр. за показником покриття експортом імпорту зовнішньоекономічна безпека Бельгії була на рівні абсолютної небезпеки.</t>
  </si>
  <si>
    <t>Відповідно до прогнозів у 2012-2021 рр. була позитивна тенденція до зростання рівня покриття експортом імпорту (висхідний тренд).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</si>
</sst>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Відкр.!$A$2</c:f>
              <c:strCache>
                <c:ptCount val="1"/>
                <c:pt idx="0">
                  <c:v>Відкритість економіки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Відкр.!$B$1:$K$1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xVal>
          <c:yVal>
            <c:numRef>
              <c:f>Відкр.!$B$2:$K$2</c:f>
              <c:numCache>
                <c:formatCode>General</c:formatCode>
                <c:ptCount val="10"/>
                <c:pt idx="0">
                  <c:v>88</c:v>
                </c:pt>
                <c:pt idx="1">
                  <c:v>87</c:v>
                </c:pt>
                <c:pt idx="2">
                  <c:v>168.3</c:v>
                </c:pt>
                <c:pt idx="3">
                  <c:v>86.6</c:v>
                </c:pt>
                <c:pt idx="4">
                  <c:v>88.6</c:v>
                </c:pt>
                <c:pt idx="5">
                  <c:v>93.2</c:v>
                </c:pt>
                <c:pt idx="6">
                  <c:v>95.5</c:v>
                </c:pt>
                <c:pt idx="7">
                  <c:v>92.7</c:v>
                </c:pt>
                <c:pt idx="8">
                  <c:v>90.1</c:v>
                </c:pt>
                <c:pt idx="9">
                  <c:v>99.5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1-47FD-A169-4037DD66E48D}"/>
            </c:ext>
          </c:extLst>
        </c:ser>
        <c:ser>
          <c:idx val="1"/>
          <c:order val="1"/>
          <c:tx>
            <c:strRef>
              <c:f>Відкр.!$A$3</c:f>
              <c:strCache>
                <c:ptCount val="1"/>
                <c:pt idx="0">
                  <c:v>Частка експорту у ВВП,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Відкр.!$B$1:$K$1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xVal>
          <c:yVal>
            <c:numRef>
              <c:f>Відкр.!$B$3:$K$3</c:f>
              <c:numCache>
                <c:formatCode>General</c:formatCode>
                <c:ptCount val="10"/>
                <c:pt idx="0">
                  <c:v>7.7</c:v>
                </c:pt>
                <c:pt idx="1">
                  <c:v>8.3000000000000007</c:v>
                </c:pt>
                <c:pt idx="2">
                  <c:v>9.1</c:v>
                </c:pt>
                <c:pt idx="3">
                  <c:v>9.4</c:v>
                </c:pt>
                <c:pt idx="4">
                  <c:v>9.1999999999999993</c:v>
                </c:pt>
                <c:pt idx="5">
                  <c:v>9.6999999999999993</c:v>
                </c:pt>
                <c:pt idx="6">
                  <c:v>10.7</c:v>
                </c:pt>
                <c:pt idx="7">
                  <c:v>10.199999999999999</c:v>
                </c:pt>
                <c:pt idx="8">
                  <c:v>12.3</c:v>
                </c:pt>
                <c:pt idx="9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51-47FD-A169-4037DD66E48D}"/>
            </c:ext>
          </c:extLst>
        </c:ser>
        <c:ser>
          <c:idx val="2"/>
          <c:order val="2"/>
          <c:tx>
            <c:strRef>
              <c:f>Відкр.!$A$4</c:f>
              <c:strCache>
                <c:ptCount val="1"/>
                <c:pt idx="0">
                  <c:v>Частка імпорту у ВВП,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Відкр.!$B$1:$K$1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xVal>
          <c:yVal>
            <c:numRef>
              <c:f>Відкр.!$B$4:$K$4</c:f>
              <c:numCache>
                <c:formatCode>0.0</c:formatCode>
                <c:ptCount val="10"/>
                <c:pt idx="0">
                  <c:v>80.334329290816569</c:v>
                </c:pt>
                <c:pt idx="1">
                  <c:v>78.662209341073847</c:v>
                </c:pt>
                <c:pt idx="2">
                  <c:v>79.175090373502655</c:v>
                </c:pt>
                <c:pt idx="3">
                  <c:v>77.190942825926868</c:v>
                </c:pt>
                <c:pt idx="4">
                  <c:v>79.439564904749986</c:v>
                </c:pt>
                <c:pt idx="5">
                  <c:v>83.459673185279797</c:v>
                </c:pt>
                <c:pt idx="6">
                  <c:v>84.794636161080575</c:v>
                </c:pt>
                <c:pt idx="7">
                  <c:v>82.49805139234978</c:v>
                </c:pt>
                <c:pt idx="8">
                  <c:v>77.753250721454123</c:v>
                </c:pt>
                <c:pt idx="9">
                  <c:v>87.756537334857299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51-47FD-A169-4037DD66E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79839"/>
        <c:axId val="9301263"/>
      </c:scatterChart>
      <c:valAx>
        <c:axId val="6607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301263"/>
        <c:crosses val="autoZero"/>
        <c:crossBetween val="midCat"/>
      </c:valAx>
      <c:valAx>
        <c:axId val="93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607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0013779527559045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'Покриття екс. імп.'!$A$2</c:f>
              <c:strCache>
                <c:ptCount val="1"/>
                <c:pt idx="0">
                  <c:v>Покриття експортом імпорту, рази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162073490813649"/>
                  <c:y val="-0.224674103237095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yVal>
            <c:numRef>
              <c:f>'Покриття екс. імп.'!$B$2:$K$2</c:f>
              <c:numCache>
                <c:formatCode>0.000</c:formatCode>
                <c:ptCount val="10"/>
                <c:pt idx="0">
                  <c:v>9.5849434083471297E-2</c:v>
                </c:pt>
                <c:pt idx="1">
                  <c:v>0.10551445312210569</c:v>
                </c:pt>
                <c:pt idx="2">
                  <c:v>0.11493513878003069</c:v>
                </c:pt>
                <c:pt idx="3">
                  <c:v>0.12177594489547719</c:v>
                </c:pt>
                <c:pt idx="4">
                  <c:v>0.11581130902505607</c:v>
                </c:pt>
                <c:pt idx="5">
                  <c:v>0.11622379563440272</c:v>
                </c:pt>
                <c:pt idx="6">
                  <c:v>0.1261872269806511</c:v>
                </c:pt>
                <c:pt idx="7">
                  <c:v>0.12363928393278228</c:v>
                </c:pt>
                <c:pt idx="8">
                  <c:v>0.15819274288690433</c:v>
                </c:pt>
                <c:pt idx="9">
                  <c:v>0.13332340080096466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F-4B93-8299-B923569C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26399"/>
        <c:axId val="251523055"/>
      </c:scatterChart>
      <c:valAx>
        <c:axId val="17832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51523055"/>
        <c:crosses val="autoZero"/>
        <c:crossBetween val="midCat"/>
      </c:valAx>
      <c:valAx>
        <c:axId val="2515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832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650875</xdr:colOff>
      <xdr:row>8</xdr:row>
      <xdr:rowOff>63500</xdr:rowOff>
    </xdr:from>
    <xdr:to>
      <xdr:col>15</xdr:col>
      <xdr:colOff>53975</xdr:colOff>
      <xdr:row>23</xdr:row>
      <xdr:rowOff>44450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5D51BE1-7090-694D-E35D-52A100498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441325</xdr:colOff>
      <xdr:row>7</xdr:row>
      <xdr:rowOff>114300</xdr:rowOff>
    </xdr:from>
    <xdr:to>
      <xdr:col>17</xdr:col>
      <xdr:colOff>492125</xdr:colOff>
      <xdr:row>22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9B31335-29FB-F798-D2C8-EED27E7D3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4E5E-8F2B-4149-9572-A45F6CB50F27}">
  <dimension ref="A1:N11"/>
  <sheetViews>
    <sheetView tabSelected="1" workbookViewId="0">
      <selection activeCell="A13" sqref="A13"/>
    </sheetView>
  </sheetViews>
  <sheetFormatPr defaultRowHeight="14.5" x14ac:dyDescent="0.35"/>
  <cols>
    <col min="1" max="1" width="21.90625" customWidth="1"/>
    <col min="2" max="11" width="9.36328125" bestFit="1" customWidth="1"/>
    <col min="13" max="13" width="10.36328125" customWidth="1"/>
  </cols>
  <sheetData>
    <row r="1" spans="1:14" x14ac:dyDescent="0.35">
      <c r="A1" s="2" t="s">
        <v>0</v>
      </c>
      <c r="B1" s="3">
        <v>2012</v>
      </c>
      <c r="C1" s="3">
        <v>2013</v>
      </c>
      <c r="D1" s="3">
        <v>2014</v>
      </c>
      <c r="E1" s="2">
        <v>2015</v>
      </c>
      <c r="F1" s="3">
        <v>2016</v>
      </c>
      <c r="G1" s="2">
        <v>2017</v>
      </c>
      <c r="H1" s="3">
        <v>2018</v>
      </c>
      <c r="I1" s="2">
        <v>2019</v>
      </c>
      <c r="J1" s="3">
        <v>2020</v>
      </c>
      <c r="K1" s="2">
        <v>2021</v>
      </c>
      <c r="L1" s="3" t="s">
        <v>18</v>
      </c>
      <c r="M1" s="3" t="s">
        <v>19</v>
      </c>
      <c r="N1" s="3" t="s">
        <v>20</v>
      </c>
    </row>
    <row r="2" spans="1:14" x14ac:dyDescent="0.35">
      <c r="A2" s="4" t="s">
        <v>1</v>
      </c>
      <c r="B2" s="3">
        <v>88</v>
      </c>
      <c r="C2" s="3">
        <v>87</v>
      </c>
      <c r="D2" s="3">
        <v>168.3</v>
      </c>
      <c r="E2" s="3">
        <v>86.6</v>
      </c>
      <c r="F2" s="3">
        <v>88.6</v>
      </c>
      <c r="G2" s="3">
        <v>93.2</v>
      </c>
      <c r="H2" s="3">
        <v>95.5</v>
      </c>
      <c r="I2" s="3">
        <v>92.7</v>
      </c>
      <c r="J2" s="3">
        <v>90.1</v>
      </c>
      <c r="K2" s="3">
        <v>99.5</v>
      </c>
      <c r="L2" s="3">
        <f>MIN(B2:K2)</f>
        <v>86.6</v>
      </c>
      <c r="M2" s="3">
        <f>MAX(B2:K2)</f>
        <v>168.3</v>
      </c>
      <c r="N2" s="5">
        <f>AVERAGE(B2:K2)</f>
        <v>98.950000000000017</v>
      </c>
    </row>
    <row r="3" spans="1:14" x14ac:dyDescent="0.35">
      <c r="A3" s="3" t="s">
        <v>16</v>
      </c>
      <c r="B3" s="3">
        <v>7.7</v>
      </c>
      <c r="C3" s="3">
        <v>8.3000000000000007</v>
      </c>
      <c r="D3" s="3">
        <v>9.1</v>
      </c>
      <c r="E3" s="3">
        <v>9.4</v>
      </c>
      <c r="F3" s="3">
        <v>9.1999999999999993</v>
      </c>
      <c r="G3" s="3">
        <v>9.6999999999999993</v>
      </c>
      <c r="H3" s="3">
        <v>10.7</v>
      </c>
      <c r="I3" s="3">
        <v>10.199999999999999</v>
      </c>
      <c r="J3" s="3">
        <v>12.3</v>
      </c>
      <c r="K3" s="3">
        <v>11.7</v>
      </c>
      <c r="L3" s="3">
        <f>MIN(B3:K3)</f>
        <v>7.7</v>
      </c>
      <c r="M3" s="3">
        <f>MAX(B3:K3)</f>
        <v>12.3</v>
      </c>
      <c r="N3" s="5">
        <f>AVERAGE(B3:K3)</f>
        <v>9.8300000000000018</v>
      </c>
    </row>
    <row r="4" spans="1:14" x14ac:dyDescent="0.35">
      <c r="A4" s="3" t="s">
        <v>17</v>
      </c>
      <c r="B4" s="5">
        <v>80.334329290816569</v>
      </c>
      <c r="C4" s="5">
        <v>78.662209341073847</v>
      </c>
      <c r="D4" s="5">
        <v>79.175090373502655</v>
      </c>
      <c r="E4" s="5">
        <v>77.190942825926868</v>
      </c>
      <c r="F4" s="5">
        <v>79.439564904749986</v>
      </c>
      <c r="G4" s="5">
        <v>83.459673185279797</v>
      </c>
      <c r="H4" s="5">
        <v>84.794636161080575</v>
      </c>
      <c r="I4" s="5">
        <v>82.49805139234978</v>
      </c>
      <c r="J4" s="5">
        <v>77.753250721454123</v>
      </c>
      <c r="K4" s="5">
        <v>87.756537334857299</v>
      </c>
      <c r="L4" s="5">
        <f>MIN(B4:K4)</f>
        <v>77.190942825926868</v>
      </c>
      <c r="M4" s="6">
        <f>MAX(B4:K4)</f>
        <v>87.756537334857299</v>
      </c>
      <c r="N4" s="5">
        <f>AVERAGE(B4:K4)</f>
        <v>81.106428553109154</v>
      </c>
    </row>
    <row r="6" spans="1:14" x14ac:dyDescent="0.35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8</v>
      </c>
      <c r="I6" s="7" t="s">
        <v>7</v>
      </c>
      <c r="J6" s="7" t="s">
        <v>6</v>
      </c>
      <c r="K6" s="7" t="s">
        <v>5</v>
      </c>
      <c r="L6" s="7" t="s">
        <v>4</v>
      </c>
    </row>
    <row r="7" spans="1:14" x14ac:dyDescent="0.35">
      <c r="A7" s="7" t="s">
        <v>2</v>
      </c>
      <c r="B7" s="7"/>
      <c r="C7" s="7"/>
      <c r="D7" s="7"/>
      <c r="E7" s="7"/>
      <c r="F7" s="7"/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</row>
    <row r="8" spans="1:14" x14ac:dyDescent="0.35">
      <c r="A8" s="1" t="s">
        <v>33</v>
      </c>
      <c r="K8" s="1">
        <v>99</v>
      </c>
    </row>
    <row r="11" spans="1:14" x14ac:dyDescent="0.35">
      <c r="A11" s="9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D1F3-711E-49D4-91E7-37578BEB27FE}">
  <dimension ref="A1:N13"/>
  <sheetViews>
    <sheetView workbookViewId="0">
      <selection activeCell="E17" sqref="E17"/>
    </sheetView>
  </sheetViews>
  <sheetFormatPr defaultRowHeight="14.5" x14ac:dyDescent="0.35"/>
  <cols>
    <col min="1" max="1" width="21.90625" customWidth="1"/>
    <col min="2" max="4" width="9.453125" bestFit="1" customWidth="1"/>
    <col min="5" max="5" width="10.453125" customWidth="1"/>
    <col min="6" max="11" width="9.453125" bestFit="1" customWidth="1"/>
    <col min="12" max="12" width="9.36328125" bestFit="1" customWidth="1"/>
    <col min="13" max="13" width="10.36328125" customWidth="1"/>
    <col min="14" max="14" width="9.36328125" bestFit="1" customWidth="1"/>
  </cols>
  <sheetData>
    <row r="1" spans="1:14" x14ac:dyDescent="0.35">
      <c r="A1" s="2" t="s">
        <v>0</v>
      </c>
      <c r="B1" s="3">
        <v>2012</v>
      </c>
      <c r="C1" s="3">
        <v>2013</v>
      </c>
      <c r="D1" s="3">
        <v>2014</v>
      </c>
      <c r="E1" s="2">
        <v>2015</v>
      </c>
      <c r="F1" s="3">
        <v>2016</v>
      </c>
      <c r="G1" s="2">
        <v>2017</v>
      </c>
      <c r="H1" s="3">
        <v>2018</v>
      </c>
      <c r="I1" s="2">
        <v>2019</v>
      </c>
      <c r="J1" s="3">
        <v>2020</v>
      </c>
      <c r="K1" s="2">
        <v>2021</v>
      </c>
      <c r="L1" s="3" t="s">
        <v>18</v>
      </c>
      <c r="M1" s="3" t="s">
        <v>19</v>
      </c>
      <c r="N1" s="3" t="s">
        <v>20</v>
      </c>
    </row>
    <row r="2" spans="1:14" ht="29" x14ac:dyDescent="0.35">
      <c r="A2" s="4" t="s">
        <v>32</v>
      </c>
      <c r="B2" s="8">
        <f t="shared" ref="B2:K2" si="0">B3/B4</f>
        <v>9.5849434083471297E-2</v>
      </c>
      <c r="C2" s="8">
        <f t="shared" si="0"/>
        <v>0.10551445312210569</v>
      </c>
      <c r="D2" s="8">
        <f t="shared" si="0"/>
        <v>0.11493513878003069</v>
      </c>
      <c r="E2" s="8">
        <f t="shared" si="0"/>
        <v>0.12177594489547719</v>
      </c>
      <c r="F2" s="8">
        <f t="shared" si="0"/>
        <v>0.11581130902505607</v>
      </c>
      <c r="G2" s="8">
        <f t="shared" si="0"/>
        <v>0.11622379563440272</v>
      </c>
      <c r="H2" s="8">
        <f t="shared" si="0"/>
        <v>0.1261872269806511</v>
      </c>
      <c r="I2" s="8">
        <f t="shared" si="0"/>
        <v>0.12363928393278228</v>
      </c>
      <c r="J2" s="8">
        <f t="shared" si="0"/>
        <v>0.15819274288690433</v>
      </c>
      <c r="K2" s="8">
        <f t="shared" si="0"/>
        <v>0.13332340080096466</v>
      </c>
      <c r="L2" s="8">
        <f>MIN(B2:K2)</f>
        <v>9.5849434083471297E-2</v>
      </c>
      <c r="M2" s="8">
        <f>MAX(B2:K2)</f>
        <v>0.15819274288690433</v>
      </c>
      <c r="N2" s="8">
        <f>AVERAGE(B2:K2)</f>
        <v>0.12114527301418461</v>
      </c>
    </row>
    <row r="3" spans="1:14" x14ac:dyDescent="0.35">
      <c r="A3" s="3" t="s">
        <v>16</v>
      </c>
      <c r="B3" s="3">
        <v>7.7</v>
      </c>
      <c r="C3" s="3">
        <v>8.3000000000000007</v>
      </c>
      <c r="D3" s="3">
        <v>9.1</v>
      </c>
      <c r="E3" s="3">
        <v>9.4</v>
      </c>
      <c r="F3" s="3">
        <v>9.1999999999999993</v>
      </c>
      <c r="G3" s="3">
        <v>9.6999999999999993</v>
      </c>
      <c r="H3" s="3">
        <v>10.7</v>
      </c>
      <c r="I3" s="3">
        <v>10.199999999999999</v>
      </c>
      <c r="J3" s="3">
        <v>12.3</v>
      </c>
      <c r="K3" s="3">
        <v>11.7</v>
      </c>
      <c r="L3" s="3">
        <f>MIN(B3:K3)</f>
        <v>7.7</v>
      </c>
      <c r="M3" s="3">
        <f>MAX(B3:K3)</f>
        <v>12.3</v>
      </c>
      <c r="N3" s="3">
        <f>AVERAGE(B3:K3)</f>
        <v>9.8300000000000018</v>
      </c>
    </row>
    <row r="4" spans="1:14" x14ac:dyDescent="0.35">
      <c r="A4" s="3" t="s">
        <v>17</v>
      </c>
      <c r="B4" s="5">
        <v>80.334329290816569</v>
      </c>
      <c r="C4" s="5">
        <v>78.662209341073847</v>
      </c>
      <c r="D4" s="5">
        <v>79.175090373502655</v>
      </c>
      <c r="E4" s="5">
        <v>77.190942825926868</v>
      </c>
      <c r="F4" s="5">
        <v>79.439564904749986</v>
      </c>
      <c r="G4" s="5">
        <v>83.459673185279797</v>
      </c>
      <c r="H4" s="5">
        <v>84.794636161080575</v>
      </c>
      <c r="I4" s="5">
        <v>82.49805139234978</v>
      </c>
      <c r="J4" s="5">
        <v>77.753250721454123</v>
      </c>
      <c r="K4" s="5">
        <v>87.756537334857299</v>
      </c>
      <c r="L4" s="5">
        <f>MIN(B4:K4)</f>
        <v>77.190942825926868</v>
      </c>
      <c r="M4" s="6">
        <f>MAX(B4:K4)</f>
        <v>87.756537334857299</v>
      </c>
      <c r="N4" s="5">
        <f>AVERAGE(B4:K4)</f>
        <v>81.106428553109154</v>
      </c>
    </row>
    <row r="6" spans="1:14" x14ac:dyDescent="0.3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8</v>
      </c>
      <c r="I6" s="1" t="s">
        <v>7</v>
      </c>
      <c r="J6" s="1" t="s">
        <v>6</v>
      </c>
      <c r="K6" s="1" t="s">
        <v>5</v>
      </c>
      <c r="L6" s="1" t="s">
        <v>4</v>
      </c>
    </row>
    <row r="7" spans="1:14" x14ac:dyDescent="0.35">
      <c r="A7" s="1" t="s">
        <v>2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21</v>
      </c>
      <c r="H7" s="1" t="s">
        <v>22</v>
      </c>
      <c r="I7" s="1" t="s">
        <v>26</v>
      </c>
      <c r="J7" s="1" t="s">
        <v>25</v>
      </c>
      <c r="K7" s="1" t="s">
        <v>24</v>
      </c>
      <c r="L7" s="1" t="s">
        <v>23</v>
      </c>
    </row>
    <row r="8" spans="1:14" x14ac:dyDescent="0.35">
      <c r="A8" s="1" t="s">
        <v>33</v>
      </c>
      <c r="B8" s="1">
        <v>0.121</v>
      </c>
    </row>
    <row r="11" spans="1:14" x14ac:dyDescent="0.35">
      <c r="A11" s="9" t="s">
        <v>35</v>
      </c>
    </row>
    <row r="13" spans="1:14" x14ac:dyDescent="0.35">
      <c r="A13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Відкр.</vt:lpstr>
      <vt:lpstr>Покриття екс. імп.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Катрич</dc:creator>
  <cp:lastModifiedBy>Даша Катрич</cp:lastModifiedBy>
  <dcterms:created xsi:type="dcterms:W3CDTF">2025-10-14T15:36:17Z</dcterms:created>
  <dcterms:modified xsi:type="dcterms:W3CDTF">2025-11-29T10:38:46Z</dcterms:modified>
</cp:coreProperties>
</file>