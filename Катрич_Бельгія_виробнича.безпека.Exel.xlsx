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Даша университет\Інформатика Токар 2025-2026\"/>
    </mc:Choice>
  </mc:AlternateContent>
  <xr:revisionPtr revIDLastSave="0" documentId="8_{620AFF5B-14DD-41AD-8ECD-2EA4799D9A87}" xr6:coauthVersionLast="47" xr6:coauthVersionMax="47" xr10:uidLastSave="{00000000-0000-0000-0000-000000000000}"/>
  <bookViews>
    <workbookView xWindow="-110" yWindow="-110" windowWidth="19420" windowHeight="11500" xr2:uid="{6A7EBAC9-7433-4E55-BAB2-8B5AA79E30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M2" i="1"/>
  <c r="L2" i="1"/>
  <c r="C2" i="1"/>
  <c r="D2" i="1"/>
  <c r="E2" i="1"/>
  <c r="F2" i="1"/>
  <c r="G2" i="1"/>
  <c r="H2" i="1"/>
  <c r="I2" i="1"/>
  <c r="J2" i="1"/>
  <c r="K2" i="1"/>
  <c r="B2" i="1"/>
</calcChain>
</file>

<file path=xl/sharedStrings.xml><?xml version="1.0" encoding="utf-8"?>
<sst xmlns="http://schemas.openxmlformats.org/spreadsheetml/2006/main" count="33" uniqueCount="28">
  <si>
    <t>Роки</t>
  </si>
  <si>
    <t>Рівень виробничої безпеки</t>
  </si>
  <si>
    <t>Інтервали</t>
  </si>
  <si>
    <t>Абс. Неб.</t>
  </si>
  <si>
    <t>Небезп.</t>
  </si>
  <si>
    <t>Незад.</t>
  </si>
  <si>
    <t>Зад.</t>
  </si>
  <si>
    <t>Опт.</t>
  </si>
  <si>
    <t>Крит.</t>
  </si>
  <si>
    <t>&gt;150</t>
  </si>
  <si>
    <t>(100;150]</t>
  </si>
  <si>
    <t>(95;100]</t>
  </si>
  <si>
    <t>[0;15)</t>
  </si>
  <si>
    <t>[15;20)</t>
  </si>
  <si>
    <t>[20;25)</t>
  </si>
  <si>
    <t>[25;35)</t>
  </si>
  <si>
    <t>[35;45)</t>
  </si>
  <si>
    <t>[45;55]</t>
  </si>
  <si>
    <t>(55;75]</t>
  </si>
  <si>
    <t>(75;95]</t>
  </si>
  <si>
    <t>Урожайність основних зернових та зернобобових культур, кг з 1 га площі збирання</t>
  </si>
  <si>
    <t>Мінімум</t>
  </si>
  <si>
    <t>Максимум</t>
  </si>
  <si>
    <t>Середнє</t>
  </si>
  <si>
    <t>Урожайність основних зернових та зернобобових культур, ц з 1 га площі збирання</t>
  </si>
  <si>
    <t>51.2</t>
  </si>
  <si>
    <t>За показником урожайність основних зернових та зернобобових культур у 2013-2022 рр. виробнича безпека Бельгії знаходилася на оптимальному рівні</t>
  </si>
  <si>
    <t>У 2013-2022 рр. тенденція була слабка до зростання врожайності, була нестабільною, із значними коливаннями між роками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</si>
</sst>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Урожайність основних зернових та зернобобових культур, ц з 1 га площі збирання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2736220472441"/>
                  <c:y val="0.42054316127150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Лист1!$B$1:$K$1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xVal>
          <c:yVal>
            <c:numRef>
              <c:f>Лист1!$B$2:$K$2</c:f>
              <c:numCache>
                <c:formatCode>0.0</c:formatCode>
                <c:ptCount val="10"/>
                <c:pt idx="0">
                  <c:v>45.61</c:v>
                </c:pt>
                <c:pt idx="1">
                  <c:v>48.606999999999999</c:v>
                </c:pt>
                <c:pt idx="2">
                  <c:v>46.696000000000005</c:v>
                </c:pt>
                <c:pt idx="3">
                  <c:v>48.178000000000004</c:v>
                </c:pt>
                <c:pt idx="4">
                  <c:v>54.796999999999997</c:v>
                </c:pt>
                <c:pt idx="5">
                  <c:v>55.616999999999997</c:v>
                </c:pt>
                <c:pt idx="6">
                  <c:v>57.747</c:v>
                </c:pt>
                <c:pt idx="7">
                  <c:v>43.733999999999995</c:v>
                </c:pt>
                <c:pt idx="8">
                  <c:v>59.496000000000002</c:v>
                </c:pt>
                <c:pt idx="9">
                  <c:v>51.512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1A-423D-9544-01F2D61A2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368863"/>
        <c:axId val="1225366943"/>
      </c:scatterChart>
      <c:valAx>
        <c:axId val="122536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25366943"/>
        <c:crosses val="autoZero"/>
        <c:crossBetween val="midCat"/>
      </c:valAx>
      <c:valAx>
        <c:axId val="122536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2536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482600</xdr:colOff>
      <xdr:row>8</xdr:row>
      <xdr:rowOff>133350</xdr:rowOff>
    </xdr:from>
    <xdr:to>
      <xdr:col>15</xdr:col>
      <xdr:colOff>88900</xdr:colOff>
      <xdr:row>23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90FD93F-719B-0149-0D6A-6B641A9A0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36FA-4E3C-4FEF-A5A8-7576ECB0B216}">
  <dimension ref="A1:N10"/>
  <sheetViews>
    <sheetView tabSelected="1" workbookViewId="0">
      <selection activeCell="A10" sqref="A10"/>
    </sheetView>
  </sheetViews>
  <sheetFormatPr defaultRowHeight="14.5" x14ac:dyDescent="0.35"/>
  <cols>
    <col min="1" max="1" width="71.26953125" customWidth="1"/>
    <col min="13" max="13" width="10" customWidth="1"/>
  </cols>
  <sheetData>
    <row r="1" spans="1:14" x14ac:dyDescent="0.35">
      <c r="A1" s="1" t="s">
        <v>0</v>
      </c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 t="s">
        <v>21</v>
      </c>
      <c r="M1" s="1" t="s">
        <v>22</v>
      </c>
      <c r="N1" s="1" t="s">
        <v>23</v>
      </c>
    </row>
    <row r="2" spans="1:14" ht="18.5" customHeight="1" x14ac:dyDescent="0.35">
      <c r="A2" s="1" t="s">
        <v>24</v>
      </c>
      <c r="B2" s="2">
        <f>B3/100</f>
        <v>45.61</v>
      </c>
      <c r="C2" s="2">
        <f t="shared" ref="C2:K2" si="0">C3/100</f>
        <v>48.606999999999999</v>
      </c>
      <c r="D2" s="2">
        <f t="shared" si="0"/>
        <v>46.696000000000005</v>
      </c>
      <c r="E2" s="2">
        <f t="shared" si="0"/>
        <v>48.178000000000004</v>
      </c>
      <c r="F2" s="2">
        <f t="shared" si="0"/>
        <v>54.796999999999997</v>
      </c>
      <c r="G2" s="2">
        <f t="shared" si="0"/>
        <v>55.616999999999997</v>
      </c>
      <c r="H2" s="2">
        <f t="shared" si="0"/>
        <v>57.747</v>
      </c>
      <c r="I2" s="2">
        <f t="shared" si="0"/>
        <v>43.733999999999995</v>
      </c>
      <c r="J2" s="2">
        <f t="shared" si="0"/>
        <v>59.496000000000002</v>
      </c>
      <c r="K2" s="2">
        <f t="shared" si="0"/>
        <v>51.512</v>
      </c>
      <c r="L2" s="2">
        <f>MIN(B2:K2)</f>
        <v>43.733999999999995</v>
      </c>
      <c r="M2" s="2">
        <f>MAX(B2:K2)</f>
        <v>59.496000000000002</v>
      </c>
      <c r="N2" s="3">
        <f>AVERAGE(B2:K2)</f>
        <v>51.199399999999997</v>
      </c>
    </row>
    <row r="3" spans="1:14" x14ac:dyDescent="0.35">
      <c r="A3" s="1" t="s">
        <v>20</v>
      </c>
      <c r="B3" s="2">
        <v>4561</v>
      </c>
      <c r="C3" s="2">
        <v>4860.7</v>
      </c>
      <c r="D3" s="2">
        <v>4669.6000000000004</v>
      </c>
      <c r="E3" s="2">
        <v>4817.8</v>
      </c>
      <c r="F3" s="2">
        <v>5479.7</v>
      </c>
      <c r="G3" s="2">
        <v>5561.7</v>
      </c>
      <c r="H3" s="2">
        <v>5774.7</v>
      </c>
      <c r="I3" s="2">
        <v>4373.3999999999996</v>
      </c>
      <c r="J3" s="2">
        <v>5949.6</v>
      </c>
      <c r="K3" s="2">
        <v>5151.2</v>
      </c>
      <c r="L3" s="2"/>
      <c r="M3" s="2"/>
      <c r="N3" s="2"/>
    </row>
    <row r="6" spans="1:14" x14ac:dyDescent="0.35">
      <c r="A6" t="s">
        <v>1</v>
      </c>
      <c r="B6" t="s">
        <v>3</v>
      </c>
      <c r="C6" t="s">
        <v>8</v>
      </c>
      <c r="D6" t="s">
        <v>4</v>
      </c>
      <c r="E6" t="s">
        <v>5</v>
      </c>
      <c r="F6" t="s">
        <v>6</v>
      </c>
      <c r="G6" t="s">
        <v>7</v>
      </c>
      <c r="H6" t="s">
        <v>6</v>
      </c>
      <c r="I6" t="s">
        <v>5</v>
      </c>
      <c r="J6" t="s">
        <v>4</v>
      </c>
      <c r="K6" t="s">
        <v>8</v>
      </c>
      <c r="L6" t="s">
        <v>3</v>
      </c>
    </row>
    <row r="7" spans="1:14" x14ac:dyDescent="0.35">
      <c r="A7" t="s">
        <v>2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11</v>
      </c>
      <c r="K7" t="s">
        <v>10</v>
      </c>
      <c r="L7" t="s">
        <v>9</v>
      </c>
    </row>
    <row r="8" spans="1:14" x14ac:dyDescent="0.35">
      <c r="G8" t="s">
        <v>25</v>
      </c>
    </row>
    <row r="9" spans="1:14" x14ac:dyDescent="0.35">
      <c r="A9" t="s">
        <v>26</v>
      </c>
    </row>
    <row r="10" spans="1:14" x14ac:dyDescent="0.35">
      <c r="A10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Даша Катрич</dc:creator>
  <cp:lastModifiedBy>Даша Катрич</cp:lastModifiedBy>
  <dcterms:created xsi:type="dcterms:W3CDTF">2025-10-03T18:07:36Z</dcterms:created>
  <dcterms:modified xsi:type="dcterms:W3CDTF">2025-10-05T15:03:17Z</dcterms:modified>
</cp:coreProperties>
</file>