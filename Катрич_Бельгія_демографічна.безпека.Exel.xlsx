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Даша университет\Інформатика Токар 2025-2026\"/>
    </mc:Choice>
  </mc:AlternateContent>
  <xr:revisionPtr revIDLastSave="0" documentId="8_{57459391-6681-4144-B8D3-5D40E7684D2F}" xr6:coauthVersionLast="47" xr6:coauthVersionMax="47" xr10:uidLastSave="{00000000-0000-0000-0000-000000000000}"/>
  <bookViews>
    <workbookView xWindow="-110" yWindow="-110" windowWidth="19420" windowHeight="11500" activeTab="2" xr2:uid="{1B2D6704-E9A6-476F-9E6F-2AB8E5413224}"/>
  </bookViews>
  <sheets>
    <sheet name="Трив. життя" sheetId="1" r:id="rId1"/>
    <sheet name="Дитяча смертність" sheetId="3" r:id="rId2"/>
    <sheet name="Дем. нав.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4" l="1"/>
  <c r="M2" i="4"/>
  <c r="L2" i="4"/>
  <c r="N2" i="3"/>
  <c r="M2" i="3"/>
  <c r="L2" i="3"/>
  <c r="N2" i="1"/>
  <c r="M2" i="1"/>
  <c r="L2" i="1"/>
</calcChain>
</file>

<file path=xl/sharedStrings.xml><?xml version="1.0" encoding="utf-8"?>
<sst xmlns="http://schemas.openxmlformats.org/spreadsheetml/2006/main" count="81" uniqueCount="45">
  <si>
    <t>Роки</t>
  </si>
  <si>
    <t>Очікувана тривалість життя</t>
  </si>
  <si>
    <t>Мінімум</t>
  </si>
  <si>
    <t>Максимум</t>
  </si>
  <si>
    <t>Середнє</t>
  </si>
  <si>
    <t>Рівень безпеки</t>
  </si>
  <si>
    <t>Порогові значення</t>
  </si>
  <si>
    <t>Абс. Неб.</t>
  </si>
  <si>
    <t>Крит.</t>
  </si>
  <si>
    <t>Небезп.</t>
  </si>
  <si>
    <t>Незадов.</t>
  </si>
  <si>
    <t>Задов.</t>
  </si>
  <si>
    <t>Опт.</t>
  </si>
  <si>
    <t>Бельгія</t>
  </si>
  <si>
    <t>[75;78)</t>
  </si>
  <si>
    <t>&lt;66</t>
  </si>
  <si>
    <t>[66;70)</t>
  </si>
  <si>
    <t>[68;70)</t>
  </si>
  <si>
    <t>[70;75)</t>
  </si>
  <si>
    <t>&gt;=78</t>
  </si>
  <si>
    <t>У 2015-2024 рр. за показником очікувана тривалість життя при народженні демографічна безпека України була на оптимальному рівні</t>
  </si>
  <si>
    <t>Відповідно до прогнозів у 2015-2024 рр. була позитивна тенденція до зростання очікуваної тривалості життя (висхідний)</t>
  </si>
  <si>
    <t>Дитяча смертність на 1 тис. народжених</t>
  </si>
  <si>
    <t>&gt;11</t>
  </si>
  <si>
    <t>(9;11]</t>
  </si>
  <si>
    <t>&lt;=4</t>
  </si>
  <si>
    <t>(4;5]</t>
  </si>
  <si>
    <t>(5;7]</t>
  </si>
  <si>
    <t>(7;9]</t>
  </si>
  <si>
    <t>У 2014-2023 рр. за показником дитячої смертності демографічна безпека Бельгії була на оптимальному рівні</t>
  </si>
  <si>
    <t>Відповідно до прогнозів у 2014-2023 рр. була позитивна тенденція до зниження очікуваної тривалості життя (бічний тренд)</t>
  </si>
  <si>
    <t>Демографічне навантаження</t>
  </si>
  <si>
    <t>(50;51]</t>
  </si>
  <si>
    <t>[45;50]</t>
  </si>
  <si>
    <t>(51;52]</t>
  </si>
  <si>
    <t>(52;53]</t>
  </si>
  <si>
    <t>(53;55]</t>
  </si>
  <si>
    <t>&gt;55</t>
  </si>
  <si>
    <t>&lt;35</t>
  </si>
  <si>
    <t>[35;36)</t>
  </si>
  <si>
    <t>[36;38)</t>
  </si>
  <si>
    <t>[40;45)</t>
  </si>
  <si>
    <t>[38;40)</t>
  </si>
  <si>
    <t>У 2015-2024 рр. за показником демографічного навантаження демографічна безпека Бельгії знаходилась рівні абсолютної небезпеки</t>
  </si>
  <si>
    <t>Відповідно до прогнозів у 2015-2024 рр. була позитивна тенденція до зростання демографічного навантаження (висхідний тренд)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</si>
</sst>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9" formatCode="#,##0.0"/>
  </numFmts>
  <fonts count="4" x14ac:knownFonts="1">
    <font>
      <sz val="11"/>
      <color theme="1"/>
      <name val="Aptos Narrow"/>
      <family val="2"/>
      <charset val="204"/>
      <scheme val="minor"/>
    </font>
    <font>
      <sz val="9"/>
      <name val="Arial"/>
      <family val="2"/>
      <charset val="204"/>
    </font>
    <font>
      <sz val="11"/>
      <color indexed="8"/>
      <name val="Aptos Narrow"/>
      <family val="2"/>
      <scheme val="minor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shrinkToFi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  <xf numFmtId="169" fontId="3" fillId="0" borderId="1" xfId="1" applyNumberFormat="1" applyFont="1" applyBorder="1" applyAlignment="1">
      <alignment horizontal="center" vertical="center" shrinkToFit="1"/>
    </xf>
    <xf numFmtId="164" fontId="3" fillId="0" borderId="1" xfId="1" applyNumberFormat="1" applyFont="1" applyBorder="1" applyAlignment="1">
      <alignment horizontal="center" vertical="center" shrinkToFit="1"/>
    </xf>
  </cellXfs>
  <cellStyles count="2">
    <cellStyle name="Обычный" xfId="0" builtinId="0"/>
    <cellStyle name="Обычный 2" xfId="1" xr:uid="{68D57F2E-3A7A-4B12-8731-B68068C07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'Трив. життя'!$A$2</c:f>
              <c:strCache>
                <c:ptCount val="1"/>
                <c:pt idx="0">
                  <c:v>Очікувана тривалість життя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38232720909885"/>
                  <c:y val="-0.231856226305045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'Трив. життя'!$B$1:$K$1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'Трив. життя'!$B$2:$K$2</c:f>
              <c:numCache>
                <c:formatCode>#\ ##0.##########</c:formatCode>
                <c:ptCount val="10"/>
                <c:pt idx="0">
                  <c:v>81.099999999999994</c:v>
                </c:pt>
                <c:pt idx="1">
                  <c:v>81.5</c:v>
                </c:pt>
                <c:pt idx="2">
                  <c:v>81.599999999999994</c:v>
                </c:pt>
                <c:pt idx="3">
                  <c:v>81.7</c:v>
                </c:pt>
                <c:pt idx="4">
                  <c:v>82.1</c:v>
                </c:pt>
                <c:pt idx="5">
                  <c:v>80.8</c:v>
                </c:pt>
                <c:pt idx="6">
                  <c:v>81.900000000000006</c:v>
                </c:pt>
                <c:pt idx="7">
                  <c:v>81.8</c:v>
                </c:pt>
                <c:pt idx="8">
                  <c:v>82.5</c:v>
                </c:pt>
                <c:pt idx="9">
                  <c:v>82.6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61-4D21-A855-64BA55A00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48719"/>
        <c:axId val="1568150159"/>
      </c:scatterChart>
      <c:valAx>
        <c:axId val="156814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68150159"/>
        <c:crosses val="autoZero"/>
        <c:crossBetween val="midCat"/>
      </c:valAx>
      <c:valAx>
        <c:axId val="15681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#########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6814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'Дитяча смертність'!$A$2</c:f>
              <c:strCache>
                <c:ptCount val="1"/>
                <c:pt idx="0">
                  <c:v>Дитяча смертність на 1 тис. народжених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1878171478565178E-2"/>
                  <c:y val="-0.222784339457567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strRef>
              <c:f>'Дитяча смертність'!$B$1:$N$1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Мінімум</c:v>
                </c:pt>
                <c:pt idx="11">
                  <c:v>Максимум</c:v>
                </c:pt>
                <c:pt idx="12">
                  <c:v>Середнє</c:v>
                </c:pt>
              </c:strCache>
            </c:strRef>
          </c:xVal>
          <c:yVal>
            <c:numRef>
              <c:f>'Дитяча смертність'!$B$2:$N$2</c:f>
              <c:numCache>
                <c:formatCode>#\ ##0.##########</c:formatCode>
                <c:ptCount val="13"/>
                <c:pt idx="0">
                  <c:v>3.4</c:v>
                </c:pt>
                <c:pt idx="1">
                  <c:v>3.3</c:v>
                </c:pt>
                <c:pt idx="2">
                  <c:v>3.2</c:v>
                </c:pt>
                <c:pt idx="3">
                  <c:v>3.6</c:v>
                </c:pt>
                <c:pt idx="4">
                  <c:v>3.8</c:v>
                </c:pt>
                <c:pt idx="5">
                  <c:v>3.7</c:v>
                </c:pt>
                <c:pt idx="6">
                  <c:v>3.3</c:v>
                </c:pt>
                <c:pt idx="7">
                  <c:v>2.9</c:v>
                </c:pt>
                <c:pt idx="8">
                  <c:v>2.9</c:v>
                </c:pt>
                <c:pt idx="9">
                  <c:v>3.1</c:v>
                </c:pt>
                <c:pt idx="10">
                  <c:v>2.9</c:v>
                </c:pt>
                <c:pt idx="11">
                  <c:v>3.8</c:v>
                </c:pt>
                <c:pt idx="12">
                  <c:v>3.3199999999999994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38-4A57-9E7D-827D9B18A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107519"/>
        <c:axId val="1577106463"/>
      </c:scatterChart>
      <c:valAx>
        <c:axId val="182910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77106463"/>
        <c:crosses val="autoZero"/>
        <c:crossBetween val="midCat"/>
      </c:valAx>
      <c:valAx>
        <c:axId val="157710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##########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2910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16010498687665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'Дем. нав.'!$B$1:$K$1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'Дем. нав.'!$B$2:$K$2</c:f>
              <c:numCache>
                <c:formatCode>#\ ##0.##########</c:formatCode>
                <c:ptCount val="10"/>
                <c:pt idx="0" formatCode="#\ ##0.0">
                  <c:v>54</c:v>
                </c:pt>
                <c:pt idx="1">
                  <c:v>54.4</c:v>
                </c:pt>
                <c:pt idx="2">
                  <c:v>54.9</c:v>
                </c:pt>
                <c:pt idx="3">
                  <c:v>55.4</c:v>
                </c:pt>
                <c:pt idx="4">
                  <c:v>55.8</c:v>
                </c:pt>
                <c:pt idx="5">
                  <c:v>56.2</c:v>
                </c:pt>
                <c:pt idx="6">
                  <c:v>56.4</c:v>
                </c:pt>
                <c:pt idx="7">
                  <c:v>56.6</c:v>
                </c:pt>
                <c:pt idx="8">
                  <c:v>56.7</c:v>
                </c:pt>
                <c:pt idx="9">
                  <c:v>56.8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0A-45BD-8342-C9F39F479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270927"/>
        <c:axId val="1848278607"/>
      </c:scatterChart>
      <c:valAx>
        <c:axId val="184827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48278607"/>
        <c:crosses val="autoZero"/>
        <c:crossBetween val="midCat"/>
      </c:valAx>
      <c:valAx>
        <c:axId val="18482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4827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</xdr:colOff>
      <xdr:row>4</xdr:row>
      <xdr:rowOff>0</xdr:rowOff>
    </xdr:from>
    <xdr:to>
      <xdr:col>15</xdr:col>
      <xdr:colOff>244475</xdr:colOff>
      <xdr:row>10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3518BD-BE8E-6AA2-1198-3E13993B8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7</xdr:row>
      <xdr:rowOff>254000</xdr:rowOff>
    </xdr:from>
    <xdr:to>
      <xdr:col>14</xdr:col>
      <xdr:colOff>574675</xdr:colOff>
      <xdr:row>9</xdr:row>
      <xdr:rowOff>1155700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A7A216-466C-CB3D-374C-74A873E54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6</xdr:row>
      <xdr:rowOff>171450</xdr:rowOff>
    </xdr:from>
    <xdr:to>
      <xdr:col>15</xdr:col>
      <xdr:colOff>250825</xdr:colOff>
      <xdr:row>9</xdr:row>
      <xdr:rowOff>1257300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3AF6F9-86A7-6749-10DD-2304C6EA3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C339-A7DE-4D5D-B36A-6CFCEF736461}">
  <dimension ref="A1:N10"/>
  <sheetViews>
    <sheetView topLeftCell="A3" workbookViewId="0">
      <selection activeCell="C12" sqref="C12"/>
    </sheetView>
  </sheetViews>
  <sheetFormatPr defaultRowHeight="14.5" x14ac:dyDescent="0.35"/>
  <cols>
    <col min="1" max="1" width="18.36328125" customWidth="1"/>
    <col min="13" max="13" width="9.90625" customWidth="1"/>
  </cols>
  <sheetData>
    <row r="1" spans="1:14" x14ac:dyDescent="0.35">
      <c r="A1" s="3" t="s">
        <v>0</v>
      </c>
      <c r="B1" s="4">
        <v>2015</v>
      </c>
      <c r="C1" s="4">
        <v>2016</v>
      </c>
      <c r="D1" s="4">
        <v>2017</v>
      </c>
      <c r="E1" s="4">
        <v>2018</v>
      </c>
      <c r="F1" s="4">
        <v>2019</v>
      </c>
      <c r="G1" s="4">
        <v>2020</v>
      </c>
      <c r="H1" s="4">
        <v>2021</v>
      </c>
      <c r="I1" s="4">
        <v>2022</v>
      </c>
      <c r="J1" s="4">
        <v>2023</v>
      </c>
      <c r="K1" s="4">
        <v>2024</v>
      </c>
      <c r="L1" s="4" t="s">
        <v>2</v>
      </c>
      <c r="M1" s="4" t="s">
        <v>3</v>
      </c>
      <c r="N1" s="4" t="s">
        <v>4</v>
      </c>
    </row>
    <row r="2" spans="1:14" ht="29" x14ac:dyDescent="0.35">
      <c r="A2" s="7" t="s">
        <v>1</v>
      </c>
      <c r="B2" s="5">
        <v>81.099999999999994</v>
      </c>
      <c r="C2" s="5">
        <v>81.5</v>
      </c>
      <c r="D2" s="5">
        <v>81.599999999999994</v>
      </c>
      <c r="E2" s="5">
        <v>81.7</v>
      </c>
      <c r="F2" s="5">
        <v>82.1</v>
      </c>
      <c r="G2" s="5">
        <v>80.8</v>
      </c>
      <c r="H2" s="5">
        <v>81.900000000000006</v>
      </c>
      <c r="I2" s="5">
        <v>81.8</v>
      </c>
      <c r="J2" s="5">
        <v>82.5</v>
      </c>
      <c r="K2" s="5">
        <v>82.6</v>
      </c>
      <c r="L2" s="6">
        <f>MIN(B2:K2)</f>
        <v>80.8</v>
      </c>
      <c r="M2" s="6">
        <f>MAX(B2:K2)</f>
        <v>82.6</v>
      </c>
      <c r="N2" s="6">
        <f>AVERAGE(B2:K2)</f>
        <v>81.760000000000005</v>
      </c>
    </row>
    <row r="4" spans="1:14" x14ac:dyDescent="0.35">
      <c r="A4" s="8" t="s">
        <v>5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</row>
    <row r="5" spans="1:14" x14ac:dyDescent="0.35">
      <c r="A5" s="8" t="s">
        <v>6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14</v>
      </c>
      <c r="G5" s="8" t="s">
        <v>19</v>
      </c>
    </row>
    <row r="6" spans="1:14" x14ac:dyDescent="0.35">
      <c r="A6" s="8" t="s">
        <v>13</v>
      </c>
      <c r="G6" s="8">
        <v>81.760000000000005</v>
      </c>
    </row>
    <row r="8" spans="1:14" ht="130.5" x14ac:dyDescent="0.35">
      <c r="A8" s="9" t="s">
        <v>20</v>
      </c>
    </row>
    <row r="10" spans="1:14" ht="116" x14ac:dyDescent="0.35">
      <c r="A10" s="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0AED-7CAC-4B2E-AABF-FC8C9EBB0A64}">
  <dimension ref="A1:N10"/>
  <sheetViews>
    <sheetView workbookViewId="0">
      <selection activeCell="A11" sqref="A11"/>
    </sheetView>
  </sheetViews>
  <sheetFormatPr defaultRowHeight="14.5" x14ac:dyDescent="0.35"/>
  <cols>
    <col min="1" max="1" width="18.36328125" customWidth="1"/>
    <col min="13" max="13" width="9.90625" customWidth="1"/>
  </cols>
  <sheetData>
    <row r="1" spans="1:14" x14ac:dyDescent="0.35">
      <c r="A1" s="7" t="s">
        <v>0</v>
      </c>
      <c r="B1" s="10">
        <v>2014</v>
      </c>
      <c r="C1" s="10">
        <v>2015</v>
      </c>
      <c r="D1" s="10">
        <v>2016</v>
      </c>
      <c r="E1" s="10">
        <v>2017</v>
      </c>
      <c r="F1" s="10">
        <v>2018</v>
      </c>
      <c r="G1" s="10">
        <v>2019</v>
      </c>
      <c r="H1" s="10">
        <v>2020</v>
      </c>
      <c r="I1" s="10">
        <v>2021</v>
      </c>
      <c r="J1" s="10">
        <v>2022</v>
      </c>
      <c r="K1" s="10">
        <v>2023</v>
      </c>
      <c r="L1" s="10" t="s">
        <v>2</v>
      </c>
      <c r="M1" s="10" t="s">
        <v>3</v>
      </c>
      <c r="N1" s="10" t="s">
        <v>4</v>
      </c>
    </row>
    <row r="2" spans="1:14" ht="43.5" x14ac:dyDescent="0.35">
      <c r="A2" s="7" t="s">
        <v>22</v>
      </c>
      <c r="B2" s="11">
        <v>3.4</v>
      </c>
      <c r="C2" s="11">
        <v>3.3</v>
      </c>
      <c r="D2" s="11">
        <v>3.2</v>
      </c>
      <c r="E2" s="11">
        <v>3.6</v>
      </c>
      <c r="F2" s="11">
        <v>3.8</v>
      </c>
      <c r="G2" s="11">
        <v>3.7</v>
      </c>
      <c r="H2" s="11">
        <v>3.3</v>
      </c>
      <c r="I2" s="11">
        <v>2.9</v>
      </c>
      <c r="J2" s="11">
        <v>2.9</v>
      </c>
      <c r="K2" s="11">
        <v>3.1</v>
      </c>
      <c r="L2" s="6">
        <f>MIN(B2:K2)</f>
        <v>2.9</v>
      </c>
      <c r="M2" s="6">
        <f>MAX(B2:K2)</f>
        <v>3.8</v>
      </c>
      <c r="N2" s="6">
        <f>AVERAGE(B2:K2)</f>
        <v>3.3199999999999994</v>
      </c>
    </row>
    <row r="4" spans="1:14" x14ac:dyDescent="0.35">
      <c r="A4" s="8" t="s">
        <v>5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11</v>
      </c>
      <c r="I4" s="8" t="s">
        <v>10</v>
      </c>
      <c r="J4" s="8" t="s">
        <v>9</v>
      </c>
      <c r="K4" s="8" t="s">
        <v>8</v>
      </c>
      <c r="L4" s="8" t="s">
        <v>7</v>
      </c>
    </row>
    <row r="5" spans="1:14" x14ac:dyDescent="0.35">
      <c r="A5" s="8" t="s">
        <v>6</v>
      </c>
      <c r="B5" s="8"/>
      <c r="C5" s="8"/>
      <c r="D5" s="8"/>
      <c r="E5" s="8"/>
      <c r="F5" s="8"/>
      <c r="G5" s="8" t="s">
        <v>25</v>
      </c>
      <c r="H5" s="2" t="s">
        <v>26</v>
      </c>
      <c r="I5" s="2" t="s">
        <v>27</v>
      </c>
      <c r="J5" s="8" t="s">
        <v>28</v>
      </c>
      <c r="K5" s="2" t="s">
        <v>24</v>
      </c>
      <c r="L5" s="2" t="s">
        <v>23</v>
      </c>
    </row>
    <row r="6" spans="1:14" x14ac:dyDescent="0.35">
      <c r="A6" s="8" t="s">
        <v>13</v>
      </c>
      <c r="G6" s="8">
        <v>3.32</v>
      </c>
    </row>
    <row r="8" spans="1:14" ht="101.5" x14ac:dyDescent="0.35">
      <c r="A8" s="9" t="s">
        <v>29</v>
      </c>
    </row>
    <row r="10" spans="1:14" ht="116" x14ac:dyDescent="0.35">
      <c r="A10" s="1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5E6C-7270-4299-A4D4-FA24DF0B475E}">
  <dimension ref="A1:N10"/>
  <sheetViews>
    <sheetView tabSelected="1" workbookViewId="0">
      <selection activeCell="A10" sqref="A10"/>
    </sheetView>
  </sheetViews>
  <sheetFormatPr defaultRowHeight="14.5" x14ac:dyDescent="0.35"/>
  <cols>
    <col min="1" max="1" width="18.36328125" customWidth="1"/>
    <col min="13" max="13" width="9.90625" customWidth="1"/>
  </cols>
  <sheetData>
    <row r="1" spans="1:14" x14ac:dyDescent="0.35">
      <c r="A1" s="7" t="s">
        <v>0</v>
      </c>
      <c r="B1" s="10">
        <v>2015</v>
      </c>
      <c r="C1" s="10">
        <v>2016</v>
      </c>
      <c r="D1" s="10">
        <v>2017</v>
      </c>
      <c r="E1" s="10">
        <v>2018</v>
      </c>
      <c r="F1" s="10">
        <v>2019</v>
      </c>
      <c r="G1" s="10">
        <v>2020</v>
      </c>
      <c r="H1" s="10">
        <v>2021</v>
      </c>
      <c r="I1" s="10">
        <v>2022</v>
      </c>
      <c r="J1" s="10">
        <v>2023</v>
      </c>
      <c r="K1" s="12">
        <v>2024</v>
      </c>
      <c r="L1" s="10" t="s">
        <v>2</v>
      </c>
      <c r="M1" s="10" t="s">
        <v>3</v>
      </c>
      <c r="N1" s="10" t="s">
        <v>4</v>
      </c>
    </row>
    <row r="2" spans="1:14" ht="29" x14ac:dyDescent="0.35">
      <c r="A2" s="7" t="s">
        <v>31</v>
      </c>
      <c r="B2" s="13">
        <v>54</v>
      </c>
      <c r="C2" s="14">
        <v>54.4</v>
      </c>
      <c r="D2" s="14">
        <v>54.9</v>
      </c>
      <c r="E2" s="14">
        <v>55.4</v>
      </c>
      <c r="F2" s="14">
        <v>55.8</v>
      </c>
      <c r="G2" s="14">
        <v>56.2</v>
      </c>
      <c r="H2" s="14">
        <v>56.4</v>
      </c>
      <c r="I2" s="14">
        <v>56.6</v>
      </c>
      <c r="J2" s="14">
        <v>56.7</v>
      </c>
      <c r="K2" s="14">
        <v>56.8</v>
      </c>
      <c r="L2" s="6">
        <f>MIN(B2:K2)</f>
        <v>54</v>
      </c>
      <c r="M2" s="6">
        <f>MAX(B2:K2)</f>
        <v>56.8</v>
      </c>
      <c r="N2" s="6">
        <f>AVERAGE(B2:K2)</f>
        <v>55.719999999999992</v>
      </c>
    </row>
    <row r="4" spans="1:14" x14ac:dyDescent="0.35">
      <c r="A4" s="8" t="s">
        <v>5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11</v>
      </c>
      <c r="I4" s="8" t="s">
        <v>10</v>
      </c>
      <c r="J4" s="8" t="s">
        <v>9</v>
      </c>
      <c r="K4" s="8" t="s">
        <v>8</v>
      </c>
      <c r="L4" s="8" t="s">
        <v>7</v>
      </c>
    </row>
    <row r="5" spans="1:14" x14ac:dyDescent="0.35">
      <c r="A5" s="8" t="s">
        <v>6</v>
      </c>
      <c r="B5" s="8" t="s">
        <v>38</v>
      </c>
      <c r="C5" s="8" t="s">
        <v>39</v>
      </c>
      <c r="D5" s="8" t="s">
        <v>40</v>
      </c>
      <c r="E5" s="8" t="s">
        <v>42</v>
      </c>
      <c r="F5" s="8" t="s">
        <v>41</v>
      </c>
      <c r="G5" s="8" t="s">
        <v>33</v>
      </c>
      <c r="H5" s="8" t="s">
        <v>32</v>
      </c>
      <c r="I5" s="8" t="s">
        <v>34</v>
      </c>
      <c r="J5" s="8" t="s">
        <v>35</v>
      </c>
      <c r="K5" s="8" t="s">
        <v>36</v>
      </c>
      <c r="L5" s="8" t="s">
        <v>37</v>
      </c>
    </row>
    <row r="6" spans="1:14" x14ac:dyDescent="0.35">
      <c r="A6" s="8" t="s">
        <v>13</v>
      </c>
      <c r="G6" s="8"/>
      <c r="L6" s="8">
        <v>55.72</v>
      </c>
    </row>
    <row r="8" spans="1:14" ht="130.5" x14ac:dyDescent="0.35">
      <c r="A8" s="9" t="s">
        <v>43</v>
      </c>
    </row>
    <row r="10" spans="1:14" ht="116" x14ac:dyDescent="0.35">
      <c r="A10" s="1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Трив. життя</vt:lpstr>
      <vt:lpstr>Дитяча смертність</vt:lpstr>
      <vt:lpstr>Дем. нав.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Даша Катрич</dc:creator>
  <cp:lastModifiedBy>Даша Катрич</cp:lastModifiedBy>
  <dcterms:created xsi:type="dcterms:W3CDTF">2025-10-05T15:46:19Z</dcterms:created>
  <dcterms:modified xsi:type="dcterms:W3CDTF">2025-10-05T17:27:03Z</dcterms:modified>
</cp:coreProperties>
</file>