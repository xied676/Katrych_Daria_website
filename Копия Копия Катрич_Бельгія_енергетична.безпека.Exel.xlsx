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Даша университет\Інформатика Токар 2025-2026\"/>
    </mc:Choice>
  </mc:AlternateContent>
  <xr:revisionPtr revIDLastSave="0" documentId="8_{38A64DEA-022A-4BE1-A16F-F161E7AA5293}" xr6:coauthVersionLast="47" xr6:coauthVersionMax="47" xr10:uidLastSave="{00000000-0000-0000-0000-000000000000}"/>
  <bookViews>
    <workbookView xWindow="-110" yWindow="-110" windowWidth="19420" windowHeight="11500" activeTab="1" xr2:uid="{1B2D6704-E9A6-476F-9E6F-2AB8E5413224}"/>
  </bookViews>
  <sheets>
    <sheet name="Відн.джерела" sheetId="4" r:id="rId1"/>
    <sheet name="Імп.залежність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5" l="1"/>
  <c r="M2" i="5"/>
  <c r="L2" i="5"/>
  <c r="O2" i="4"/>
  <c r="N2" i="4"/>
  <c r="M2" i="4"/>
</calcChain>
</file>

<file path=xl/sharedStrings.xml><?xml version="1.0" encoding="utf-8"?>
<sst xmlns="http://schemas.openxmlformats.org/spreadsheetml/2006/main" count="57" uniqueCount="32">
  <si>
    <t>Роки</t>
  </si>
  <si>
    <t>Мінімум</t>
  </si>
  <si>
    <t>Максимум</t>
  </si>
  <si>
    <t>Середнє</t>
  </si>
  <si>
    <t>Рівень безпеки</t>
  </si>
  <si>
    <t>Порогові значення</t>
  </si>
  <si>
    <t>Абс. Неб.</t>
  </si>
  <si>
    <t>Крит.</t>
  </si>
  <si>
    <t>Небезп.</t>
  </si>
  <si>
    <t>Незадов.</t>
  </si>
  <si>
    <t>Задов.</t>
  </si>
  <si>
    <t>Опт.</t>
  </si>
  <si>
    <t>Бельгія</t>
  </si>
  <si>
    <t>Частка відновлювальних джерел, %</t>
  </si>
  <si>
    <t>&gt;=6</t>
  </si>
  <si>
    <t>[4;6)</t>
  </si>
  <si>
    <t>[0;2)</t>
  </si>
  <si>
    <t>[2;3)</t>
  </si>
  <si>
    <t>[3;3,5)</t>
  </si>
  <si>
    <t>[3,5;4)</t>
  </si>
  <si>
    <t>У 2011-2021 рр. за показником частки відновлювальних джерел енегретична безпека Бельгії знаходилась на оптимальному рівні</t>
  </si>
  <si>
    <t>Відповідно до прогнозів у 2011-2021 рр. неможливо встановити тенденцію до частки відновлювальних джерел (бічний тренд)</t>
  </si>
  <si>
    <t>&lt;=30</t>
  </si>
  <si>
    <t>(30;40]</t>
  </si>
  <si>
    <t>(40;50]</t>
  </si>
  <si>
    <t>(50;55]</t>
  </si>
  <si>
    <t>(55;60]</t>
  </si>
  <si>
    <t>&gt;60</t>
  </si>
  <si>
    <t>Рівень імпортної залежності</t>
  </si>
  <si>
    <t/>
  </si>
  <si>
    <t>У 2014-2023 рр. за показником рівня імпортної залежності енегретична безпека Бельгії знаходилась на рівні абсолютної небезпеки</t>
  </si>
  <si>
    <t>Відповідно до прогнозів у 2014-2023 рр. була позитивна тенденція до зниження рівня імпортної залежності (низхідний тренд)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</si>
</sst>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##########"/>
    <numFmt numFmtId="165" formatCode="_-* #,##0.0_-;\-* #,##0.0_-;_-* &quot;-&quot;??_-;_-@_-"/>
  </numFmts>
  <fonts count="4" x14ac:knownFonts="1">
    <font>
      <sz val="11"/>
      <color theme="1"/>
      <name val="Aptos Narrow"/>
      <family val="2"/>
      <charset val="204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 shrinkToFit="1"/>
    </xf>
    <xf numFmtId="164" fontId="3" fillId="0" borderId="0" xfId="0" applyNumberFormat="1" applyFont="1" applyAlignment="1">
      <alignment horizontal="right" vertical="center" shrinkToFit="1"/>
    </xf>
    <xf numFmtId="3" fontId="3" fillId="0" borderId="0" xfId="0" applyNumberFormat="1" applyFont="1" applyAlignment="1">
      <alignment horizontal="center" vertical="center" shrinkToFit="1"/>
    </xf>
  </cellXfs>
  <cellStyles count="3">
    <cellStyle name="Обычный" xfId="0" builtinId="0"/>
    <cellStyle name="Обычный 2" xfId="1" xr:uid="{68D57F2E-3A7A-4B12-8731-B68068C07D25}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Відн.джерела!$A$2</c:f>
              <c:strCache>
                <c:ptCount val="1"/>
                <c:pt idx="0">
                  <c:v>Частка відновлювальних джерел,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.10248403324584437"/>
                  <c:y val="-0.325823855351414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numRef>
              <c:f>Відн.джерела!$B$1:$L$1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xVal>
          <c:yVal>
            <c:numRef>
              <c:f>Відн.джерела!$B$2:$L$2</c:f>
              <c:numCache>
                <c:formatCode>General</c:formatCode>
                <c:ptCount val="11"/>
                <c:pt idx="0">
                  <c:v>6.7</c:v>
                </c:pt>
                <c:pt idx="1">
                  <c:v>7.7</c:v>
                </c:pt>
                <c:pt idx="2">
                  <c:v>8.3000000000000007</c:v>
                </c:pt>
                <c:pt idx="3">
                  <c:v>9.1</c:v>
                </c:pt>
                <c:pt idx="4">
                  <c:v>9.4</c:v>
                </c:pt>
                <c:pt idx="5">
                  <c:v>9.1999999999999993</c:v>
                </c:pt>
                <c:pt idx="6">
                  <c:v>9.6999999999999993</c:v>
                </c:pt>
                <c:pt idx="7">
                  <c:v>10.7</c:v>
                </c:pt>
                <c:pt idx="8">
                  <c:v>10.199999999999999</c:v>
                </c:pt>
                <c:pt idx="9">
                  <c:v>12.3</c:v>
                </c:pt>
                <c:pt idx="10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51-43A1-9D13-B34CD1ABC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456752"/>
        <c:axId val="1628091504"/>
      </c:scatterChart>
      <c:valAx>
        <c:axId val="167745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28091504"/>
        <c:crosses val="autoZero"/>
        <c:crossBetween val="midCat"/>
      </c:valAx>
      <c:valAx>
        <c:axId val="162809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7745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96804461942257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Імп.залежність!$A$2</c:f>
              <c:strCache>
                <c:ptCount val="1"/>
                <c:pt idx="0">
                  <c:v>Рівень імпортної залежності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331146106736656E-2"/>
                  <c:y val="-0.631783683289588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numRef>
              <c:f>Імп.залежність!$B$1:$K$1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xVal>
          <c:yVal>
            <c:numRef>
              <c:f>Імп.залежність!$B$2:$K$2</c:f>
              <c:numCache>
                <c:formatCode>#,##0</c:formatCode>
                <c:ptCount val="10"/>
                <c:pt idx="0">
                  <c:v>80.19</c:v>
                </c:pt>
                <c:pt idx="1">
                  <c:v>84.227000000000004</c:v>
                </c:pt>
                <c:pt idx="2">
                  <c:v>75.981999999999999</c:v>
                </c:pt>
                <c:pt idx="3">
                  <c:v>75.317999999999998</c:v>
                </c:pt>
                <c:pt idx="4">
                  <c:v>83.043999999999997</c:v>
                </c:pt>
                <c:pt idx="5">
                  <c:v>77.668000000000006</c:v>
                </c:pt>
                <c:pt idx="6" formatCode="#\ ##0.##########">
                  <c:v>78.131</c:v>
                </c:pt>
                <c:pt idx="7">
                  <c:v>70.903000000000006</c:v>
                </c:pt>
                <c:pt idx="8">
                  <c:v>74.028999999999996</c:v>
                </c:pt>
                <c:pt idx="9">
                  <c:v>76.096999999999994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64-4338-9622-95741249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048528"/>
        <c:axId val="259045168"/>
      </c:scatterChart>
      <c:valAx>
        <c:axId val="25904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59045168"/>
        <c:crosses val="autoZero"/>
        <c:crossBetween val="midCat"/>
      </c:valAx>
      <c:valAx>
        <c:axId val="2590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5904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6</xdr:row>
      <xdr:rowOff>69850</xdr:rowOff>
    </xdr:from>
    <xdr:to>
      <xdr:col>15</xdr:col>
      <xdr:colOff>187325</xdr:colOff>
      <xdr:row>9</xdr:row>
      <xdr:rowOff>1155700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70C4506-FF9F-F78D-C6F2-6AF2EE577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7</xdr:row>
      <xdr:rowOff>25400</xdr:rowOff>
    </xdr:from>
    <xdr:to>
      <xdr:col>14</xdr:col>
      <xdr:colOff>441325</xdr:colOff>
      <xdr:row>9</xdr:row>
      <xdr:rowOff>1295400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DAD96FD-F24E-AA8A-0B7A-ADAA53E8A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5E6C-7270-4299-A4D4-FA24DF0B475E}">
  <dimension ref="A1:O10"/>
  <sheetViews>
    <sheetView topLeftCell="A2" workbookViewId="0">
      <selection activeCell="B11" sqref="B11"/>
    </sheetView>
  </sheetViews>
  <sheetFormatPr defaultRowHeight="14.5" x14ac:dyDescent="0.35"/>
  <cols>
    <col min="1" max="1" width="18.36328125" customWidth="1"/>
    <col min="13" max="13" width="9.90625" customWidth="1"/>
    <col min="14" max="14" width="9.81640625" customWidth="1"/>
    <col min="15" max="15" width="12.36328125" bestFit="1" customWidth="1"/>
  </cols>
  <sheetData>
    <row r="1" spans="1:15" x14ac:dyDescent="0.35">
      <c r="A1" s="3" t="s">
        <v>0</v>
      </c>
      <c r="B1" s="6">
        <v>2011</v>
      </c>
      <c r="C1" s="6">
        <v>2012</v>
      </c>
      <c r="D1" s="6">
        <v>2013</v>
      </c>
      <c r="E1" s="6">
        <v>2014</v>
      </c>
      <c r="F1" s="6">
        <v>2015</v>
      </c>
      <c r="G1" s="6">
        <v>2016</v>
      </c>
      <c r="H1" s="6">
        <v>2017</v>
      </c>
      <c r="I1" s="6">
        <v>2018</v>
      </c>
      <c r="J1" s="6">
        <v>2019</v>
      </c>
      <c r="K1" s="6">
        <v>2020</v>
      </c>
      <c r="L1" s="6">
        <v>2021</v>
      </c>
      <c r="M1" s="6" t="s">
        <v>1</v>
      </c>
      <c r="N1" s="6" t="s">
        <v>2</v>
      </c>
      <c r="O1" s="6" t="s">
        <v>3</v>
      </c>
    </row>
    <row r="2" spans="1:15" ht="43.5" x14ac:dyDescent="0.35">
      <c r="A2" s="3" t="s">
        <v>13</v>
      </c>
      <c r="B2" s="4">
        <v>6.7</v>
      </c>
      <c r="C2" s="4">
        <v>7.7</v>
      </c>
      <c r="D2" s="4">
        <v>8.3000000000000007</v>
      </c>
      <c r="E2" s="4">
        <v>9.1</v>
      </c>
      <c r="F2" s="4">
        <v>9.4</v>
      </c>
      <c r="G2" s="4">
        <v>9.1999999999999993</v>
      </c>
      <c r="H2" s="4">
        <v>9.6999999999999993</v>
      </c>
      <c r="I2" s="4">
        <v>10.7</v>
      </c>
      <c r="J2" s="4">
        <v>10.199999999999999</v>
      </c>
      <c r="K2" s="4">
        <v>12.3</v>
      </c>
      <c r="L2" s="4">
        <v>11.7</v>
      </c>
      <c r="M2" s="2">
        <f>MIN(B2:L2)</f>
        <v>6.7</v>
      </c>
      <c r="N2" s="2">
        <f>MAX(B2:L2)</f>
        <v>12.3</v>
      </c>
      <c r="O2" s="7">
        <f>AVERAGE(B2:L2)</f>
        <v>9.5454545454545467</v>
      </c>
    </row>
    <row r="4" spans="1:15" x14ac:dyDescent="0.35">
      <c r="A4" s="4" t="s">
        <v>4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10</v>
      </c>
      <c r="I4" s="4" t="s">
        <v>9</v>
      </c>
      <c r="J4" s="4" t="s">
        <v>8</v>
      </c>
      <c r="K4" s="4" t="s">
        <v>7</v>
      </c>
      <c r="L4" s="4" t="s">
        <v>6</v>
      </c>
    </row>
    <row r="5" spans="1:15" x14ac:dyDescent="0.35">
      <c r="A5" s="4" t="s">
        <v>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15</v>
      </c>
      <c r="G5" s="4" t="s">
        <v>14</v>
      </c>
      <c r="H5" s="4"/>
      <c r="I5" s="4"/>
      <c r="J5" s="4"/>
      <c r="K5" s="4"/>
      <c r="L5" s="4"/>
    </row>
    <row r="6" spans="1:15" x14ac:dyDescent="0.35">
      <c r="A6" s="4" t="s">
        <v>12</v>
      </c>
      <c r="G6" s="4">
        <v>9.5</v>
      </c>
      <c r="L6" s="4"/>
    </row>
    <row r="8" spans="1:15" ht="101.5" x14ac:dyDescent="0.35">
      <c r="A8" s="5" t="s">
        <v>20</v>
      </c>
    </row>
    <row r="10" spans="1:15" ht="116" x14ac:dyDescent="0.35">
      <c r="A10" s="1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BBD0-939D-4BCF-B0E1-E831AAA057A5}">
  <dimension ref="A1:T10"/>
  <sheetViews>
    <sheetView tabSelected="1" workbookViewId="0">
      <selection activeCell="A10" sqref="A10"/>
    </sheetView>
  </sheetViews>
  <sheetFormatPr defaultRowHeight="14.5" x14ac:dyDescent="0.35"/>
  <cols>
    <col min="1" max="1" width="18.36328125" customWidth="1"/>
    <col min="13" max="13" width="9.90625" customWidth="1"/>
    <col min="14" max="14" width="9.81640625" customWidth="1"/>
    <col min="15" max="15" width="12.36328125" bestFit="1" customWidth="1"/>
  </cols>
  <sheetData>
    <row r="1" spans="1:20" x14ac:dyDescent="0.35">
      <c r="A1" s="3" t="s">
        <v>0</v>
      </c>
      <c r="B1" s="6">
        <v>2014</v>
      </c>
      <c r="C1" s="6">
        <v>2015</v>
      </c>
      <c r="D1" s="6">
        <v>2016</v>
      </c>
      <c r="E1" s="6">
        <v>2017</v>
      </c>
      <c r="F1" s="6">
        <v>2018</v>
      </c>
      <c r="G1" s="6">
        <v>2019</v>
      </c>
      <c r="H1" s="6">
        <v>2020</v>
      </c>
      <c r="I1" s="6">
        <v>2021</v>
      </c>
      <c r="J1" s="6">
        <v>2022</v>
      </c>
      <c r="K1" s="6">
        <v>2023</v>
      </c>
      <c r="L1" s="6" t="s">
        <v>1</v>
      </c>
      <c r="M1" s="6" t="s">
        <v>2</v>
      </c>
      <c r="N1" s="6" t="s">
        <v>3</v>
      </c>
    </row>
    <row r="2" spans="1:20" ht="29" x14ac:dyDescent="0.35">
      <c r="A2" s="3" t="s">
        <v>28</v>
      </c>
      <c r="B2" s="10">
        <v>80.19</v>
      </c>
      <c r="C2" s="10">
        <v>84.227000000000004</v>
      </c>
      <c r="D2" s="8">
        <v>75.981999999999999</v>
      </c>
      <c r="E2" s="8">
        <v>75.317999999999998</v>
      </c>
      <c r="F2" s="8">
        <v>83.043999999999997</v>
      </c>
      <c r="G2" s="8">
        <v>77.668000000000006</v>
      </c>
      <c r="H2" s="9">
        <v>78.131</v>
      </c>
      <c r="I2" s="8">
        <v>70.903000000000006</v>
      </c>
      <c r="J2" s="8">
        <v>74.028999999999996</v>
      </c>
      <c r="K2" s="8">
        <v>76.096999999999994</v>
      </c>
      <c r="L2" s="8">
        <f>MIN(B2:K2)</f>
        <v>70.903000000000006</v>
      </c>
      <c r="M2" s="8">
        <f>MAX(B2:K2)</f>
        <v>84.227000000000004</v>
      </c>
      <c r="N2" s="8">
        <f>AVERAGE(B2:K2)</f>
        <v>77.558899999999994</v>
      </c>
      <c r="O2" s="8" t="s">
        <v>29</v>
      </c>
      <c r="P2" s="9"/>
      <c r="Q2" s="8" t="s">
        <v>29</v>
      </c>
      <c r="R2" s="9"/>
      <c r="S2" s="8" t="s">
        <v>29</v>
      </c>
      <c r="T2" s="9"/>
    </row>
    <row r="4" spans="1:20" x14ac:dyDescent="0.35">
      <c r="A4" s="4" t="s">
        <v>4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10</v>
      </c>
      <c r="I4" s="4" t="s">
        <v>9</v>
      </c>
      <c r="J4" s="4" t="s">
        <v>8</v>
      </c>
      <c r="K4" s="4" t="s">
        <v>7</v>
      </c>
      <c r="L4" s="4" t="s">
        <v>6</v>
      </c>
    </row>
    <row r="5" spans="1:20" x14ac:dyDescent="0.35">
      <c r="A5" s="4" t="s">
        <v>5</v>
      </c>
      <c r="B5" s="4"/>
      <c r="C5" s="4"/>
      <c r="D5" s="4"/>
      <c r="E5" s="4"/>
      <c r="F5" s="4"/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</row>
    <row r="6" spans="1:20" x14ac:dyDescent="0.35">
      <c r="A6" s="4" t="s">
        <v>12</v>
      </c>
      <c r="G6" s="4"/>
      <c r="L6" s="4">
        <v>78</v>
      </c>
    </row>
    <row r="8" spans="1:20" ht="130.5" x14ac:dyDescent="0.35">
      <c r="A8" s="5" t="s">
        <v>30</v>
      </c>
    </row>
    <row r="10" spans="1:20" ht="116" x14ac:dyDescent="0.35">
      <c r="A10" s="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Відн.джерела</vt:lpstr>
      <vt:lpstr>Імп.залежність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Даша Катрич</dc:creator>
  <cp:lastModifiedBy>Даша Катрич</cp:lastModifiedBy>
  <dcterms:created xsi:type="dcterms:W3CDTF">2025-10-05T15:46:19Z</dcterms:created>
  <dcterms:modified xsi:type="dcterms:W3CDTF">2025-10-20T20:12:54Z</dcterms:modified>
</cp:coreProperties>
</file>