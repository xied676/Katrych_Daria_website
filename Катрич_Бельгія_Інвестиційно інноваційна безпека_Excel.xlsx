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Даша университет\Інформатика Токар 2025-2026\"/>
    </mc:Choice>
  </mc:AlternateContent>
  <xr:revisionPtr revIDLastSave="0" documentId="8_{529FCF69-DEC4-4F1B-85BB-68131A45DC36}" xr6:coauthVersionLast="47" xr6:coauthVersionMax="47" xr10:uidLastSave="{00000000-0000-0000-0000-000000000000}"/>
  <bookViews>
    <workbookView xWindow="-110" yWindow="-110" windowWidth="19420" windowHeight="11500" activeTab="2" xr2:uid="{8D406873-39B4-4DB4-8662-E3B396468DBB}"/>
  </bookViews>
  <sheets>
    <sheet name="ПІІ" sheetId="1" r:id="rId1"/>
    <sheet name="НДДКР" sheetId="2" r:id="rId2"/>
    <sheet name="Інтернет-користувачі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3" l="1"/>
  <c r="M2" i="3"/>
  <c r="L2" i="3"/>
  <c r="N2" i="2"/>
  <c r="M2" i="2"/>
  <c r="L2" i="2"/>
  <c r="N2" i="1"/>
  <c r="M2" i="1"/>
  <c r="L2" i="1"/>
</calcChain>
</file>

<file path=xl/sharedStrings.xml><?xml version="1.0" encoding="utf-8"?>
<sst xmlns="http://schemas.openxmlformats.org/spreadsheetml/2006/main" count="63" uniqueCount="39">
  <si>
    <t>Відношення чистого приросту прямих іноземних інвестицій до ВВП, відсотків</t>
  </si>
  <si>
    <t>Роки</t>
  </si>
  <si>
    <t>Мінімальне</t>
  </si>
  <si>
    <t>Максимальне</t>
  </si>
  <si>
    <t>Середнє</t>
  </si>
  <si>
    <t>Рівень безпеки</t>
  </si>
  <si>
    <t>Інтервали</t>
  </si>
  <si>
    <t>Абс. Неб.</t>
  </si>
  <si>
    <t>Крит.</t>
  </si>
  <si>
    <t>Неб.</t>
  </si>
  <si>
    <t>Незад.</t>
  </si>
  <si>
    <t>Зад.</t>
  </si>
  <si>
    <t>Опт.</t>
  </si>
  <si>
    <t>&lt;4</t>
  </si>
  <si>
    <t>[4;4,5)</t>
  </si>
  <si>
    <t>[4,5;5)</t>
  </si>
  <si>
    <t>[5;6)</t>
  </si>
  <si>
    <t>[6,7)</t>
  </si>
  <si>
    <t>&gt;=7</t>
  </si>
  <si>
    <t>За показником відношення чистого природнього ПІІ (прямих іноземних інвестицій) до ВВП у 2015-2024 рр. інвестиційно-інноваційна безпека Бельгії знаходилася в абсолютній небезпеці</t>
  </si>
  <si>
    <t>&lt;0,5</t>
  </si>
  <si>
    <t>[0,5;1)</t>
  </si>
  <si>
    <t>[1;1,5)</t>
  </si>
  <si>
    <t>[1,5;2)</t>
  </si>
  <si>
    <t>[2;3)</t>
  </si>
  <si>
    <t>&gt;=3</t>
  </si>
  <si>
    <t>Питома вага обягу виконаних наукових і науково-технічних робіт у ВВП, відсотків</t>
  </si>
  <si>
    <t>За показником відношення НДДКР до ВВП у 2013-2022 інвестиційно-інноваційна безпека Бельгії знаходилася на задовільному рівні</t>
  </si>
  <si>
    <t>Частка осіб, які повідомили, що за останні 12 місяців користувалися послугами Інтернету (обстеження домогосподарства), відсотків</t>
  </si>
  <si>
    <t>&lt;20</t>
  </si>
  <si>
    <t>[20;30)</t>
  </si>
  <si>
    <t>[30;45)</t>
  </si>
  <si>
    <t>[45;60)</t>
  </si>
  <si>
    <t>[60;80)</t>
  </si>
  <si>
    <t>&gt;=80</t>
  </si>
  <si>
    <t>За показником користування інтернетом у 2015-2024 рр. інвестиційно-інноваційна безпека Бельгії знаходилася на оптимальному рівні</t>
  </si>
  <si>
    <t>У цей період був бічний тренд, неможливо втановити тенденцію</t>
  </si>
  <si>
    <t>У цей період був висхідний тренд (позитивна тенденція)</t>
  </si>
  <si>
    <t>У цей період тренд був висхідний (позитивна тенденція)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</si>
</sst>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3.7187445319335072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ПІІ!$A$2</c:f>
              <c:strCache>
                <c:ptCount val="1"/>
                <c:pt idx="0">
                  <c:v>Відношення чистого приросту прямих іноземних інвестицій до ВВП, відсотків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44247594050743"/>
                  <c:y val="-0.502035214348206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numRef>
              <c:f>ПІІ!$B$1:$K$1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ПІІ!$B$2:$K$2</c:f>
              <c:numCache>
                <c:formatCode>0.0</c:formatCode>
                <c:ptCount val="10"/>
                <c:pt idx="0">
                  <c:v>-4.2326141035412306</c:v>
                </c:pt>
                <c:pt idx="1">
                  <c:v>12.131942022711295</c:v>
                </c:pt>
                <c:pt idx="2">
                  <c:v>-7.444237901766301</c:v>
                </c:pt>
                <c:pt idx="3">
                  <c:v>-7.6664953871346739</c:v>
                </c:pt>
                <c:pt idx="4">
                  <c:v>-1.9725299781891459</c:v>
                </c:pt>
                <c:pt idx="5">
                  <c:v>-5.7423522714293593</c:v>
                </c:pt>
                <c:pt idx="6">
                  <c:v>5.9057971055121774</c:v>
                </c:pt>
                <c:pt idx="7">
                  <c:v>2.0004645644055445</c:v>
                </c:pt>
                <c:pt idx="8">
                  <c:v>-0.43063634067363155</c:v>
                </c:pt>
                <c:pt idx="9">
                  <c:v>-5.3522237592935342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97-4870-A93F-9C106173C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504367"/>
        <c:axId val="1274491887"/>
      </c:scatterChart>
      <c:valAx>
        <c:axId val="127450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74491887"/>
        <c:crosses val="autoZero"/>
        <c:crossBetween val="midCat"/>
      </c:valAx>
      <c:valAx>
        <c:axId val="127449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7450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4284558180227477E-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НДДКР!$A$2</c:f>
              <c:strCache>
                <c:ptCount val="1"/>
                <c:pt idx="0">
                  <c:v>Питома вага обягу виконаних наукових і науково-технічних робіт у ВВП, відсотків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94028871391076"/>
                  <c:y val="-0.195277777777777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numRef>
              <c:f>НДДКР!$B$1:$K$1</c:f>
              <c:numCache>
                <c:formatCode>General</c:formatCode>
                <c:ptCount val="10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</c:numCache>
            </c:numRef>
          </c:xVal>
          <c:yVal>
            <c:numRef>
              <c:f>НДДКР!$B$2:$K$2</c:f>
              <c:numCache>
                <c:formatCode>0.0</c:formatCode>
                <c:ptCount val="10"/>
                <c:pt idx="0">
                  <c:v>2.33073</c:v>
                </c:pt>
                <c:pt idx="1">
                  <c:v>2.3700199999999998</c:v>
                </c:pt>
                <c:pt idx="2">
                  <c:v>2.4281700000000002</c:v>
                </c:pt>
                <c:pt idx="3">
                  <c:v>2.52338</c:v>
                </c:pt>
                <c:pt idx="4">
                  <c:v>2.6666599999999998</c:v>
                </c:pt>
                <c:pt idx="5">
                  <c:v>2.8601800000000002</c:v>
                </c:pt>
                <c:pt idx="6">
                  <c:v>3.1566000000000001</c:v>
                </c:pt>
                <c:pt idx="7">
                  <c:v>3.39175</c:v>
                </c:pt>
                <c:pt idx="8">
                  <c:v>3.3923899999999998</c:v>
                </c:pt>
                <c:pt idx="9">
                  <c:v>3.40544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6B-4F8C-9DDF-89A3C3B79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553071"/>
        <c:axId val="1100554031"/>
      </c:scatterChart>
      <c:valAx>
        <c:axId val="110055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00554031"/>
        <c:crosses val="autoZero"/>
        <c:crossBetween val="midCat"/>
      </c:valAx>
      <c:valAx>
        <c:axId val="110055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0055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4208223972003496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'Інтернет-користувачі'!$A$2</c:f>
              <c:strCache>
                <c:ptCount val="1"/>
                <c:pt idx="0">
                  <c:v>Частка осіб, які повідомили, що за останні 12 місяців користувалися послугами Інтернету (обстеження домогосподарства), відсотків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41347331583552"/>
                  <c:y val="-0.241990740740740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uk-UA"/>
                </a:p>
              </c:txPr>
            </c:trendlineLbl>
          </c:trendline>
          <c:xVal>
            <c:numRef>
              <c:f>'Інтернет-користувачі'!$B$1:$K$1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xVal>
          <c:yVal>
            <c:numRef>
              <c:f>'Інтернет-користувачі'!$B$2:$K$2</c:f>
              <c:numCache>
                <c:formatCode>0</c:formatCode>
                <c:ptCount val="10"/>
                <c:pt idx="0">
                  <c:v>85.052899999999994</c:v>
                </c:pt>
                <c:pt idx="1">
                  <c:v>86.516499999999994</c:v>
                </c:pt>
                <c:pt idx="2">
                  <c:v>87.679699999999997</c:v>
                </c:pt>
                <c:pt idx="3">
                  <c:v>88.647300000000001</c:v>
                </c:pt>
                <c:pt idx="4">
                  <c:v>90.275400000000005</c:v>
                </c:pt>
                <c:pt idx="5">
                  <c:v>91.526399999999995</c:v>
                </c:pt>
                <c:pt idx="6">
                  <c:v>92.788700000000006</c:v>
                </c:pt>
                <c:pt idx="7">
                  <c:v>94.007800000000003</c:v>
                </c:pt>
                <c:pt idx="8">
                  <c:v>94.626300000000001</c:v>
                </c:pt>
                <c:pt idx="9">
                  <c:v>95.775800000000004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2E-4604-AE2F-06AF2FD79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497167"/>
        <c:axId val="1274500527"/>
      </c:scatterChart>
      <c:valAx>
        <c:axId val="127449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74500527"/>
        <c:crosses val="autoZero"/>
        <c:crossBetween val="midCat"/>
      </c:valAx>
      <c:valAx>
        <c:axId val="127450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7449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504825</xdr:colOff>
      <xdr:row>10</xdr:row>
      <xdr:rowOff>88900</xdr:rowOff>
    </xdr:from>
    <xdr:to>
      <xdr:col>17</xdr:col>
      <xdr:colOff>263525</xdr:colOff>
      <xdr:row>25</xdr:row>
      <xdr:rowOff>69850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F2CD1EC-901E-FEAC-329E-1C068897A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92075</xdr:colOff>
      <xdr:row>8</xdr:row>
      <xdr:rowOff>63500</xdr:rowOff>
    </xdr:from>
    <xdr:to>
      <xdr:col>16</xdr:col>
      <xdr:colOff>549275</xdr:colOff>
      <xdr:row>23</xdr:row>
      <xdr:rowOff>44450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D7DFAA7-40DA-575F-3399-EDF64FE1E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3</xdr:row>
      <xdr:rowOff>171450</xdr:rowOff>
    </xdr:from>
    <xdr:to>
      <xdr:col>17</xdr:col>
      <xdr:colOff>460375</xdr:colOff>
      <xdr:row>18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104A961-4AF7-FC09-D255-9338555C2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8F280-06EB-46C8-9BC3-CF7724AEF5FA}">
  <dimension ref="A1:N10"/>
  <sheetViews>
    <sheetView topLeftCell="A5" workbookViewId="0">
      <selection activeCell="I23" sqref="I23"/>
    </sheetView>
  </sheetViews>
  <sheetFormatPr defaultRowHeight="14.5" x14ac:dyDescent="0.35"/>
  <cols>
    <col min="1" max="1" width="14.08984375" customWidth="1"/>
    <col min="12" max="12" width="11.90625" customWidth="1"/>
    <col min="13" max="13" width="13.36328125" customWidth="1"/>
  </cols>
  <sheetData>
    <row r="1" spans="1:14" x14ac:dyDescent="0.35">
      <c r="A1" s="2" t="s">
        <v>1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 t="s">
        <v>2</v>
      </c>
      <c r="M1" s="2" t="s">
        <v>3</v>
      </c>
      <c r="N1" s="2" t="s">
        <v>4</v>
      </c>
    </row>
    <row r="2" spans="1:14" ht="123.5" customHeight="1" x14ac:dyDescent="0.35">
      <c r="A2" s="3" t="s">
        <v>0</v>
      </c>
      <c r="B2" s="4">
        <v>-4.2326141035412306</v>
      </c>
      <c r="C2" s="4">
        <v>12.131942022711295</v>
      </c>
      <c r="D2" s="4">
        <v>-7.444237901766301</v>
      </c>
      <c r="E2" s="4">
        <v>-7.6664953871346739</v>
      </c>
      <c r="F2" s="4">
        <v>-1.9725299781891459</v>
      </c>
      <c r="G2" s="4">
        <v>-5.7423522714293593</v>
      </c>
      <c r="H2" s="4">
        <v>5.9057971055121774</v>
      </c>
      <c r="I2" s="4">
        <v>2.0004645644055445</v>
      </c>
      <c r="J2" s="4">
        <v>-0.43063634067363155</v>
      </c>
      <c r="K2" s="4">
        <v>-5.3522237592935342</v>
      </c>
      <c r="L2" s="4">
        <f>MIN(B2:K2)</f>
        <v>-7.6664953871346739</v>
      </c>
      <c r="M2" s="4">
        <f>MAX(B2:K2)</f>
        <v>12.131942022711295</v>
      </c>
      <c r="N2" s="4">
        <f>AVERAGE(B2:K2)</f>
        <v>-1.2802886049398858</v>
      </c>
    </row>
    <row r="4" spans="1:14" x14ac:dyDescent="0.35">
      <c r="A4" s="1" t="s">
        <v>5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1:14" x14ac:dyDescent="0.35">
      <c r="A5" s="1" t="s">
        <v>6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</row>
    <row r="6" spans="1:14" x14ac:dyDescent="0.35">
      <c r="B6" s="1">
        <v>-1.3</v>
      </c>
    </row>
    <row r="8" spans="1:14" x14ac:dyDescent="0.35">
      <c r="A8" t="s">
        <v>19</v>
      </c>
    </row>
    <row r="10" spans="1:14" x14ac:dyDescent="0.35">
      <c r="A10" t="s">
        <v>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1CE9-81A0-4257-A11F-9F4984A495C0}">
  <dimension ref="A1:N8"/>
  <sheetViews>
    <sheetView workbookViewId="0">
      <selection activeCell="H11" sqref="H11"/>
    </sheetView>
  </sheetViews>
  <sheetFormatPr defaultRowHeight="14.5" x14ac:dyDescent="0.35"/>
  <cols>
    <col min="1" max="1" width="17.26953125" customWidth="1"/>
    <col min="12" max="12" width="10.7265625" customWidth="1"/>
    <col min="13" max="13" width="13.26953125" customWidth="1"/>
  </cols>
  <sheetData>
    <row r="1" spans="1:14" x14ac:dyDescent="0.35">
      <c r="A1" s="2" t="s">
        <v>1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 t="s">
        <v>2</v>
      </c>
      <c r="M1" s="2" t="s">
        <v>3</v>
      </c>
      <c r="N1" s="2" t="s">
        <v>4</v>
      </c>
    </row>
    <row r="2" spans="1:14" ht="72.5" x14ac:dyDescent="0.35">
      <c r="A2" s="3" t="s">
        <v>26</v>
      </c>
      <c r="B2" s="4">
        <v>2.33073</v>
      </c>
      <c r="C2" s="4">
        <v>2.3700199999999998</v>
      </c>
      <c r="D2" s="4">
        <v>2.4281700000000002</v>
      </c>
      <c r="E2" s="4">
        <v>2.52338</v>
      </c>
      <c r="F2" s="4">
        <v>2.6666599999999998</v>
      </c>
      <c r="G2" s="4">
        <v>2.8601800000000002</v>
      </c>
      <c r="H2" s="4">
        <v>3.1566000000000001</v>
      </c>
      <c r="I2" s="4">
        <v>3.39175</v>
      </c>
      <c r="J2" s="4">
        <v>3.3923899999999998</v>
      </c>
      <c r="K2" s="4">
        <v>3.40544</v>
      </c>
      <c r="L2" s="4">
        <f>MAX(B2:K2)</f>
        <v>3.40544</v>
      </c>
      <c r="M2" s="4">
        <f>MAX(B2:K2)</f>
        <v>3.40544</v>
      </c>
      <c r="N2" s="4">
        <f>AVERAGE(B2:L2)</f>
        <v>2.9027963636363627</v>
      </c>
    </row>
    <row r="4" spans="1:14" x14ac:dyDescent="0.35">
      <c r="A4" s="2" t="s">
        <v>5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1:14" x14ac:dyDescent="0.35">
      <c r="A5" s="2" t="s">
        <v>6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</row>
    <row r="6" spans="1:14" x14ac:dyDescent="0.35">
      <c r="F6" s="1">
        <v>2.9</v>
      </c>
    </row>
    <row r="7" spans="1:14" x14ac:dyDescent="0.35">
      <c r="A7" t="s">
        <v>27</v>
      </c>
    </row>
    <row r="8" spans="1:14" x14ac:dyDescent="0.35">
      <c r="A8" t="s">
        <v>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86939-2979-44EC-95BC-B997E486972D}">
  <dimension ref="A1:N9"/>
  <sheetViews>
    <sheetView tabSelected="1" workbookViewId="0">
      <selection activeCell="A9" sqref="A9"/>
    </sheetView>
  </sheetViews>
  <sheetFormatPr defaultRowHeight="14.5" x14ac:dyDescent="0.35"/>
  <cols>
    <col min="1" max="1" width="17.26953125" customWidth="1"/>
    <col min="12" max="12" width="10.54296875" customWidth="1"/>
    <col min="13" max="13" width="14.08984375" customWidth="1"/>
  </cols>
  <sheetData>
    <row r="1" spans="1:14" x14ac:dyDescent="0.35">
      <c r="A1" s="2" t="s">
        <v>1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 t="s">
        <v>2</v>
      </c>
      <c r="M1" s="2" t="s">
        <v>3</v>
      </c>
      <c r="N1" s="2" t="s">
        <v>4</v>
      </c>
    </row>
    <row r="2" spans="1:14" ht="136" customHeight="1" x14ac:dyDescent="0.35">
      <c r="A2" s="3" t="s">
        <v>28</v>
      </c>
      <c r="B2" s="5">
        <v>85.052899999999994</v>
      </c>
      <c r="C2" s="5">
        <v>86.516499999999994</v>
      </c>
      <c r="D2" s="5">
        <v>87.679699999999997</v>
      </c>
      <c r="E2" s="5">
        <v>88.647300000000001</v>
      </c>
      <c r="F2" s="5">
        <v>90.275400000000005</v>
      </c>
      <c r="G2" s="5">
        <v>91.526399999999995</v>
      </c>
      <c r="H2" s="5">
        <v>92.788700000000006</v>
      </c>
      <c r="I2" s="5">
        <v>94.007800000000003</v>
      </c>
      <c r="J2" s="5">
        <v>94.626300000000001</v>
      </c>
      <c r="K2" s="5">
        <v>95.775800000000004</v>
      </c>
      <c r="L2" s="5">
        <f>MIN(B2:K2)</f>
        <v>85.052899999999994</v>
      </c>
      <c r="M2" s="5">
        <f>MAX(B2:K2)</f>
        <v>95.775800000000004</v>
      </c>
      <c r="N2" s="5">
        <f>AVERAGE(B2:K2)</f>
        <v>90.689679999999981</v>
      </c>
    </row>
    <row r="4" spans="1:14" x14ac:dyDescent="0.35">
      <c r="A4" s="2" t="s">
        <v>5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1:14" x14ac:dyDescent="0.35">
      <c r="A5" s="2" t="s">
        <v>6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 spans="1:14" x14ac:dyDescent="0.35">
      <c r="G6" s="1">
        <v>91</v>
      </c>
    </row>
    <row r="8" spans="1:14" x14ac:dyDescent="0.35">
      <c r="A8" t="s">
        <v>35</v>
      </c>
    </row>
    <row r="9" spans="1:14" x14ac:dyDescent="0.35">
      <c r="A9" t="s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ПІІ</vt:lpstr>
      <vt:lpstr>НДДКР</vt:lpstr>
      <vt:lpstr>Інтернет-користувачі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Даша Катрич</dc:creator>
  <cp:lastModifiedBy>Даша Катрич</cp:lastModifiedBy>
  <dcterms:created xsi:type="dcterms:W3CDTF">2025-11-01T18:50:29Z</dcterms:created>
  <dcterms:modified xsi:type="dcterms:W3CDTF">2025-11-29T10:30:11Z</dcterms:modified>
</cp:coreProperties>
</file>